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yliteww.sharepoint.com/sites/LuminexAccounting/Shared Documents/Monthly Reporting/FY 2026/09-November-25 Fin Statement/Lenders/"/>
    </mc:Choice>
  </mc:AlternateContent>
  <xr:revisionPtr revIDLastSave="36" documentId="8_{3F545D2C-AE7D-4919-B175-B0DCD609C54D}" xr6:coauthVersionLast="47" xr6:coauthVersionMax="47" xr10:uidLastSave="{EAEC1C2F-EEB3-4D76-8ADD-29B295E7AEE5}"/>
  <bookViews>
    <workbookView xWindow="-110" yWindow="-110" windowWidth="19420" windowHeight="11500" xr2:uid="{56A16D1E-F1A0-43D6-A8C3-D24F31973AEA}"/>
  </bookViews>
  <sheets>
    <sheet name="FY26 P&amp;L Actuals" sheetId="1" r:id="rId1"/>
    <sheet name="Sch 6 - FY26 BS Actuals" sheetId="2" r:id="rId2"/>
    <sheet name="Sch 7 - CF" sheetId="3" r:id="rId3"/>
  </sheets>
  <definedNames>
    <definedName name="__123Graph_A" hidden="1">#REF!</definedName>
    <definedName name="__123Graph_A91" hidden="1">#REF!</definedName>
    <definedName name="__123Graph_AL1005" hidden="1">#REF!</definedName>
    <definedName name="__123Graph_AL1006" hidden="1">#REF!</definedName>
    <definedName name="__123Graph_AL460" hidden="1">#REF!</definedName>
    <definedName name="__123Graph_AL750" hidden="1">#REF!</definedName>
    <definedName name="__123Graph_AMIN34" hidden="1">#REF!</definedName>
    <definedName name="__123Graph_AMINE1" hidden="1">#REF!</definedName>
    <definedName name="__123Graph_AMING2" hidden="1">#REF!</definedName>
    <definedName name="__123Graph_AS245A" hidden="1">#REF!</definedName>
    <definedName name="__123Graph_AS245B" hidden="1">#REF!</definedName>
    <definedName name="__123Graph_AS245C" hidden="1">#REF!</definedName>
    <definedName name="__123Graph_AS245D" hidden="1">#REF!</definedName>
    <definedName name="__123Graph_AS550" hidden="1">#REF!</definedName>
    <definedName name="__123Graph_AS625A" hidden="1">#REF!</definedName>
    <definedName name="__123Graph_AS625B" hidden="1">#REF!</definedName>
    <definedName name="__123Graph_AS625C" hidden="1">#REF!</definedName>
    <definedName name="__123Graph_AS750A" hidden="1">#REF!</definedName>
    <definedName name="__123Graph_ASALES" hidden="1">#REF!</definedName>
    <definedName name="__123Graph_ASFX56A" hidden="1">#REF!</definedName>
    <definedName name="__123Graph_ASFX56B" hidden="1">#REF!</definedName>
    <definedName name="__123Graph_ASFX56C" hidden="1">#REF!</definedName>
    <definedName name="__123Graph_ASFX56D" hidden="1">#REF!</definedName>
    <definedName name="__123Graph_ASFX56E" hidden="1">#REF!</definedName>
    <definedName name="__123Graph_ATOTLF" hidden="1">#REF!</definedName>
    <definedName name="__123Graph_ATOTMIN" hidden="1">#REF!</definedName>
    <definedName name="__123Graph_ATOTSF" hidden="1">#REF!</definedName>
    <definedName name="__123Graph_ATSALT" hidden="1">#REF!</definedName>
    <definedName name="__123Graph_ATURN" hidden="1">#REF!</definedName>
    <definedName name="__123Graph_B" hidden="1">#REF!</definedName>
    <definedName name="__123Graph_BCURINV" hidden="1">#REF!</definedName>
    <definedName name="__123Graph_BL1005" hidden="1">#REF!</definedName>
    <definedName name="__123Graph_BL1006" hidden="1">#REF!</definedName>
    <definedName name="__123Graph_BL460" hidden="1">#REF!</definedName>
    <definedName name="__123Graph_BL750" hidden="1">#REF!</definedName>
    <definedName name="__123Graph_BMIN34" hidden="1">#REF!</definedName>
    <definedName name="__123Graph_BMINE1" hidden="1">#REF!</definedName>
    <definedName name="__123Graph_BMING2" hidden="1">#REF!</definedName>
    <definedName name="__123Graph_BPRIORINV" hidden="1">#REF!</definedName>
    <definedName name="__123Graph_BS245A" hidden="1">#REF!</definedName>
    <definedName name="__123Graph_BS245B" hidden="1">#REF!</definedName>
    <definedName name="__123Graph_BS245C" hidden="1">#REF!</definedName>
    <definedName name="__123Graph_BS245D" hidden="1">#REF!</definedName>
    <definedName name="__123Graph_BS550" hidden="1">#REF!</definedName>
    <definedName name="__123Graph_BS625A" hidden="1">#REF!</definedName>
    <definedName name="__123Graph_BS625B" hidden="1">#REF!</definedName>
    <definedName name="__123Graph_BS625C" hidden="1">#REF!</definedName>
    <definedName name="__123Graph_BS750A" hidden="1">#REF!</definedName>
    <definedName name="__123Graph_BSALES" hidden="1">#REF!</definedName>
    <definedName name="__123Graph_BSFX56A" hidden="1">#REF!</definedName>
    <definedName name="__123Graph_BSFX56B" hidden="1">#REF!</definedName>
    <definedName name="__123Graph_BSFX56C" hidden="1">#REF!</definedName>
    <definedName name="__123Graph_BSFX56D" hidden="1">#REF!</definedName>
    <definedName name="__123Graph_BSFX56E" hidden="1">#REF!</definedName>
    <definedName name="__123Graph_BTOTLF" hidden="1">#REF!</definedName>
    <definedName name="__123Graph_BTOTMIN" hidden="1">#REF!</definedName>
    <definedName name="__123Graph_BTOTSF" hidden="1">#REF!</definedName>
    <definedName name="__123Graph_BTSALT" hidden="1">#REF!</definedName>
    <definedName name="__123Graph_BTURN" hidden="1">#REF!</definedName>
    <definedName name="__123Graph_CL1005" hidden="1">#REF!</definedName>
    <definedName name="__123Graph_CL1006" hidden="1">#REF!</definedName>
    <definedName name="__123Graph_CL460" hidden="1">#REF!</definedName>
    <definedName name="__123Graph_CL750" hidden="1">#REF!</definedName>
    <definedName name="__123Graph_CMIN34" hidden="1">#REF!</definedName>
    <definedName name="__123Graph_CMING2" hidden="1">#REF!</definedName>
    <definedName name="__123Graph_CS245A" hidden="1">#REF!</definedName>
    <definedName name="__123Graph_CS245B" hidden="1">#REF!</definedName>
    <definedName name="__123Graph_CS245C" hidden="1">#REF!</definedName>
    <definedName name="__123Graph_CS245D" hidden="1">#REF!</definedName>
    <definedName name="__123Graph_CS550" hidden="1">#REF!</definedName>
    <definedName name="__123Graph_CS625A" hidden="1">#REF!</definedName>
    <definedName name="__123Graph_CS625B" hidden="1">#REF!</definedName>
    <definedName name="__123Graph_CS625C" hidden="1">#REF!</definedName>
    <definedName name="__123Graph_CS750A" hidden="1">#REF!</definedName>
    <definedName name="__123Graph_CSFX56A" hidden="1">#REF!</definedName>
    <definedName name="__123Graph_CSFX56B" hidden="1">#REF!</definedName>
    <definedName name="__123Graph_CSFX56C" hidden="1">#REF!</definedName>
    <definedName name="__123Graph_CSFX56D" hidden="1">#REF!</definedName>
    <definedName name="__123Graph_CSFX56E" hidden="1">#REF!</definedName>
    <definedName name="__123Graph_CTOTSF" hidden="1">#REF!</definedName>
    <definedName name="__123Graph_CTSALT" hidden="1">#REF!</definedName>
    <definedName name="__123Graph_X" hidden="1">#REF!</definedName>
    <definedName name="__123Graph_X91" hidden="1">#REF!</definedName>
    <definedName name="__123Graph_XCURINV" hidden="1">#REF!</definedName>
    <definedName name="__123Graph_XL1005" hidden="1">#REF!</definedName>
    <definedName name="__123Graph_XL1006" hidden="1">#REF!</definedName>
    <definedName name="__123Graph_XL460" hidden="1">#REF!</definedName>
    <definedName name="__123Graph_XL750" hidden="1">#REF!</definedName>
    <definedName name="__123Graph_XMIN34" hidden="1">#REF!</definedName>
    <definedName name="__123Graph_XMINE1" hidden="1">#REF!</definedName>
    <definedName name="__123Graph_XMING2" hidden="1">#REF!</definedName>
    <definedName name="__123Graph_XPRIORINV" hidden="1">#REF!</definedName>
    <definedName name="__123Graph_XS245A" hidden="1">#REF!</definedName>
    <definedName name="__123Graph_XS245B" hidden="1">#REF!</definedName>
    <definedName name="__123Graph_XS245C" hidden="1">#REF!</definedName>
    <definedName name="__123Graph_XS245D" hidden="1">#REF!</definedName>
    <definedName name="__123Graph_XS550" hidden="1">#REF!</definedName>
    <definedName name="__123Graph_XS625A" hidden="1">#REF!</definedName>
    <definedName name="__123Graph_XS625B" hidden="1">#REF!</definedName>
    <definedName name="__123Graph_XS625C" hidden="1">#REF!</definedName>
    <definedName name="__123Graph_XS750A" hidden="1">#REF!</definedName>
    <definedName name="__123Graph_XSALES" hidden="1">#REF!</definedName>
    <definedName name="__123Graph_XSFX56A" hidden="1">#REF!</definedName>
    <definedName name="__123Graph_XSFX56B" hidden="1">#REF!</definedName>
    <definedName name="__123Graph_XSFX56C" hidden="1">#REF!</definedName>
    <definedName name="__123Graph_XSFX56D" hidden="1">#REF!</definedName>
    <definedName name="__123Graph_XSFX56E" hidden="1">#REF!</definedName>
    <definedName name="__123Graph_XTOTLF" hidden="1">#REF!</definedName>
    <definedName name="__123Graph_XTOTMIN" hidden="1">#REF!</definedName>
    <definedName name="__123Graph_XTOTSF" hidden="1">#REF!</definedName>
    <definedName name="__123Graph_XTSALT" hidden="1">#REF!</definedName>
    <definedName name="__123Graph_XTURN" hidden="1">#REF!</definedName>
    <definedName name="__IntlFixup" hidden="1">TRUE</definedName>
    <definedName name="_10__123Graph_ACHART_10" hidden="1">#REF!</definedName>
    <definedName name="_100__123Graph_XCHART_15" hidden="1">#REF!</definedName>
    <definedName name="_101__123Graph_XCHART_16" hidden="1">#REF!</definedName>
    <definedName name="_102__123Graph_XCHART_17" hidden="1">#REF!</definedName>
    <definedName name="_103__123Graph_XCHART_19" hidden="1">#REF!</definedName>
    <definedName name="_104__123Graph_XChart_1A" hidden="1">#REF!</definedName>
    <definedName name="_105__123Graph_XCHART_2" hidden="1">#REF!</definedName>
    <definedName name="_106__123Graph_XChart_2A" hidden="1">#REF!</definedName>
    <definedName name="_107__123Graph_XCHART_3" hidden="1">#REF!</definedName>
    <definedName name="_108__123Graph_XCHART_4" hidden="1">#REF!</definedName>
    <definedName name="_109__123Graph_XCHART_5" hidden="1">#REF!</definedName>
    <definedName name="_11__123Graph_ACHART_11" hidden="1">#REF!</definedName>
    <definedName name="_110__123Graph_XCHART_6" hidden="1">#REF!</definedName>
    <definedName name="_111__123Graph_XCHART_7" hidden="1">#REF!</definedName>
    <definedName name="_112__123Graph_XCHART_8" hidden="1">#REF!</definedName>
    <definedName name="_113__123Graph_XCHART_9" hidden="1">#REF!</definedName>
    <definedName name="_12__123Graph_ACHART_12" hidden="1">#REF!</definedName>
    <definedName name="_123" hidden="1">#REF!</definedName>
    <definedName name="_13__123Graph_ACHART_13" hidden="1">#REF!</definedName>
    <definedName name="_14__123Graph_ACHART_14" hidden="1">#REF!</definedName>
    <definedName name="_15__123Graph_ACHART_15" hidden="1">#REF!</definedName>
    <definedName name="_16__123Graph_ACHART_16" hidden="1">#REF!</definedName>
    <definedName name="_17__123Graph_ACHART_17" hidden="1">#REF!</definedName>
    <definedName name="_18__123Graph_AChart_1A" hidden="1">#REF!</definedName>
    <definedName name="_2" hidden="1">#REF!</definedName>
    <definedName name="_27__123Graph_ACHART_2" hidden="1">#REF!</definedName>
    <definedName name="_28__123Graph_AChart_2A" hidden="1">#REF!</definedName>
    <definedName name="_29__123Graph_ACHART_3" hidden="1">#REF!</definedName>
    <definedName name="_30__123Graph_ACHART_4" hidden="1">#REF!</definedName>
    <definedName name="_31__123Graph_ACHART_5" hidden="1">#REF!</definedName>
    <definedName name="_32__123Graph_ACHART_6" hidden="1">#REF!</definedName>
    <definedName name="_33__123Graph_ACHART_7" hidden="1">#REF!</definedName>
    <definedName name="_34__123Graph_ACHART_8" hidden="1">#REF!</definedName>
    <definedName name="_35__123Graph_ACHART_9" hidden="1">#REF!</definedName>
    <definedName name="_44__123Graph_BCHART_1" hidden="1">#REF!</definedName>
    <definedName name="_45__123Graph_BCHART_10" hidden="1">#REF!</definedName>
    <definedName name="_46__123Graph_BCHART_11" hidden="1">#REF!</definedName>
    <definedName name="_47__123Graph_BCHART_12" hidden="1">#REF!</definedName>
    <definedName name="_48__123Graph_BCHART_13" hidden="1">#REF!</definedName>
    <definedName name="_49__123Graph_BCHART_14" hidden="1">#REF!</definedName>
    <definedName name="_50__123Graph_BCHART_15" hidden="1">#REF!</definedName>
    <definedName name="_51__123Graph_BCHART_16" hidden="1">#REF!</definedName>
    <definedName name="_52__123Graph_BCHART_17" hidden="1">#REF!</definedName>
    <definedName name="_53__123Graph_BCHART_19" hidden="1">#REF!</definedName>
    <definedName name="_54__123Graph_BChart_1A" hidden="1">#REF!</definedName>
    <definedName name="_55__123Graph_BCHART_2" hidden="1">#REF!</definedName>
    <definedName name="_56__123Graph_BCHART_3" hidden="1">#REF!</definedName>
    <definedName name="_57__123Graph_BCHART_4" hidden="1">#REF!</definedName>
    <definedName name="_58__123Graph_BCHART_5" hidden="1">#REF!</definedName>
    <definedName name="_59__123Graph_BCHART_6" hidden="1">#REF!</definedName>
    <definedName name="_60__123Graph_BCHART_7" hidden="1">#REF!</definedName>
    <definedName name="_61__123Graph_BCHART_8" hidden="1">#REF!</definedName>
    <definedName name="_62__123Graph_BCHART_9" hidden="1">#REF!</definedName>
    <definedName name="_71__123Graph_CCHART_1" hidden="1">#REF!</definedName>
    <definedName name="_72__123Graph_CCHART_10" hidden="1">#REF!</definedName>
    <definedName name="_73__123Graph_CCHART_11" hidden="1">#REF!</definedName>
    <definedName name="_74__123Graph_CCHART_12" hidden="1">#REF!</definedName>
    <definedName name="_75__123Graph_CCHART_13" hidden="1">#REF!</definedName>
    <definedName name="_76__123Graph_CCHART_14" hidden="1">#REF!</definedName>
    <definedName name="_77__123Graph_CCHART_15" hidden="1">#REF!</definedName>
    <definedName name="_78__123Graph_CCHART_16" hidden="1">#REF!</definedName>
    <definedName name="_79__123Graph_CCHART_17" hidden="1">#REF!</definedName>
    <definedName name="_80__123Graph_CCHART_19" hidden="1">#REF!</definedName>
    <definedName name="_81__123Graph_CChart_1A" hidden="1">#REF!</definedName>
    <definedName name="_82__123Graph_CCHART_2" hidden="1">#REF!</definedName>
    <definedName name="_83__123Graph_CCHART_3" hidden="1">#REF!</definedName>
    <definedName name="_84__123Graph_CCHART_4" hidden="1">#REF!</definedName>
    <definedName name="_85__123Graph_CCHART_5" hidden="1">#REF!</definedName>
    <definedName name="_86__123Graph_CCHART_6" hidden="1">#REF!</definedName>
    <definedName name="_87__123Graph_CCHART_7" hidden="1">#REF!</definedName>
    <definedName name="_88__123Graph_CCHART_8" hidden="1">#REF!</definedName>
    <definedName name="_89__123Graph_CCHART_9" hidden="1">#REF!</definedName>
    <definedName name="_9__123Graph_ACHART_1" hidden="1">#REF!</definedName>
    <definedName name="_90__123Graph_LBL_ACHART_1" hidden="1">#REF!</definedName>
    <definedName name="_91__123Graph_LBL_ACHART_2" hidden="1">#REF!</definedName>
    <definedName name="_92__123Graph_LBL_BCHART_1" hidden="1">#REF!</definedName>
    <definedName name="_93__123Graph_LBL_ECHART_1" hidden="1">#REF!</definedName>
    <definedName name="_94__123Graph_XCHART_1" hidden="1">#REF!</definedName>
    <definedName name="_95__123Graph_XCHART_10" hidden="1">#REF!</definedName>
    <definedName name="_96__123Graph_XCHART_11" hidden="1">#REF!</definedName>
    <definedName name="_97__123Graph_XCHART_12" hidden="1">#REF!</definedName>
    <definedName name="_98__123Graph_XCHART_13" hidden="1">#REF!</definedName>
    <definedName name="_99__123Graph_XCHART_14" hidden="1">#REF!</definedName>
    <definedName name="_dfr4" hidden="1">#REF!</definedName>
    <definedName name="_Fill" hidden="1">#REF!</definedName>
    <definedName name="_Key1" hidden="1">#REF!</definedName>
    <definedName name="_Key1new" hidden="1">#REF!</definedName>
    <definedName name="_Key2" hidden="1">#REF!</definedName>
    <definedName name="_new2" hidden="1">#REF!</definedName>
    <definedName name="_Order1" hidden="1">255</definedName>
    <definedName name="_Order2" hidden="1">0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sga" hidden="1">#REF!</definedName>
    <definedName name="_Sort" hidden="1">#REF!</definedName>
    <definedName name="_Sortnew" hidden="1">#REF!</definedName>
    <definedName name="_Table1_In1" hidden="1">#REF!</definedName>
    <definedName name="_Table1_Out" hidden="1">#REF!</definedName>
    <definedName name="a" hidden="1">#REF!</definedName>
    <definedName name="addgggrrrrr5" hidden="1">#REF!</definedName>
    <definedName name="agfgtg" hidden="1">#REF!</definedName>
    <definedName name="AS2DocOpenMode" hidden="1">"AS2DocumentEdit"</definedName>
    <definedName name="b" hidden="1">#REF!</definedName>
    <definedName name="bbbbbbbb" hidden="1">#REF!</definedName>
    <definedName name="bbbbbbbbbbbbbbb" hidden="1">#REF!</definedName>
    <definedName name="bbrh55" hidden="1">#REF!</definedName>
    <definedName name="BCHART" hidden="1">#REF!</definedName>
    <definedName name="bdfgthjy7" hidden="1">#REF!</definedName>
    <definedName name="bdgghdgg5" hidden="1">#REF!</definedName>
    <definedName name="Beowulf" hidden="1">#REF!</definedName>
    <definedName name="bfgb5g5e" hidden="1">#REF!</definedName>
    <definedName name="bgfbf5" hidden="1">#REF!</definedName>
    <definedName name="bggdhrth655" hidden="1">#REF!</definedName>
    <definedName name="bghnmh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ccccc6" hidden="1">#REF!</definedName>
    <definedName name="cfvrsr" hidden="1">#REF!</definedName>
    <definedName name="CIQWBGuid" hidden="1">"2A - Internal Financial Statements (7.11.13).xls"</definedName>
    <definedName name="Code" hidden="1">#REF!</definedName>
    <definedName name="copqcm3lpd" hidden="1">#REF!</definedName>
    <definedName name="csdffg45" hidden="1">#REF!</definedName>
    <definedName name="ddddddd" hidden="1">#REF!</definedName>
    <definedName name="ddddddddddddd" hidden="1">#REF!</definedName>
    <definedName name="dddddddddddddd" hidden="1">#REF!</definedName>
    <definedName name="df" hidden="1">#REF!</definedName>
    <definedName name="dfggggg54" hidden="1">#REF!</definedName>
    <definedName name="dfsdfe" hidden="1">#REF!</definedName>
    <definedName name="dfsdfsdf" hidden="1">#REF!</definedName>
    <definedName name="dfserfgt4" hidden="1">#REF!</definedName>
    <definedName name="dfsfdgsgf4" hidden="1">#REF!</definedName>
    <definedName name="dgdsfge5" hidden="1">#REF!</definedName>
    <definedName name="dgfgdfhg5" hidden="1">#REF!</definedName>
    <definedName name="dhngntt" hidden="1">#REF!</definedName>
    <definedName name="Discount" hidden="1">#REF!</definedName>
    <definedName name="DOWNTIME" hidden="1">#REF!</definedName>
    <definedName name="dsaffeesf34" hidden="1">#REF!</definedName>
    <definedName name="dsfgdfhgter43" hidden="1">#REF!</definedName>
    <definedName name="dsfsf4w" hidden="1">#REF!</definedName>
    <definedName name="dsfsgfdg54" hidden="1">#REF!</definedName>
    <definedName name="dsfsrga54" hidden="1">#REF!</definedName>
    <definedName name="dsra4wrt4" hidden="1">#REF!</definedName>
    <definedName name="DSSversion" hidden="1">1</definedName>
    <definedName name="eeeeeee" hidden="1">#REF!</definedName>
    <definedName name="eeeeeeeee" hidden="1">#REF!</definedName>
    <definedName name="er45gg" hidden="1">#REF!</definedName>
    <definedName name="ev" hidden="1">38757.7944444444</definedName>
    <definedName name="EV__CVPARAMS__" hidden="1">"Any by Any!$B$17:$C$38;"</definedName>
    <definedName name="EV__DECIMALSYMBOL__" hidden="1">"."</definedName>
    <definedName name="EV__EXPOPTIONS__" hidden="1">0</definedName>
    <definedName name="EV__LASTREFTIME__" hidden="1">39126.5194560185</definedName>
    <definedName name="EV__LOCKEDCVW__FINANCE" hidden="1">"TOT_CONTRIB,P08Fcst,TOTALCC,TotalAdj,E_7000,TOT_SUB_LNCH,2006.TOTAL,PERIODIC,"</definedName>
    <definedName name="EV__LOCKEDCVW__KPI" hidden="1">"ACTUAL,TOTALCC,TotalAdj,All_Minions,TOT_ANDROID,TOT_WGS_FRNGS,USD,TOT_SUB_LNCH,2006.TOTAL,PERIODIC,"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_LAS" hidden="1">38763.5799074074</definedName>
    <definedName name="EV_Last" hidden="1">38757.7944444444</definedName>
    <definedName name="EV_Lastr" hidden="1">38750.5823148148</definedName>
    <definedName name="ev_w" hidden="1">134217728</definedName>
    <definedName name="EV_WBR" hidden="1">134217730</definedName>
    <definedName name="evc" hidden="1">"Any by Any!$B$17:$C$38;"</definedName>
    <definedName name="evlasd" hidden="1">38749.6119560185</definedName>
    <definedName name="evw" hidden="1">134217783</definedName>
    <definedName name="fbgbbbb4" hidden="1">#REF!</definedName>
    <definedName name="fbgjkkk" hidden="1">#REF!</definedName>
    <definedName name="FCode" hidden="1">#REF!</definedName>
    <definedName name="fdsfgfhgdht" hidden="1">#REF!</definedName>
    <definedName name="feffdfbgbd" hidden="1">#REF!</definedName>
    <definedName name="ffghnbbb5" hidden="1">#REF!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nnbb5" hidden="1">#REF!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hggger" hidden="1">#REF!</definedName>
    <definedName name="fghgh6" hidden="1">#REF!</definedName>
    <definedName name="fgrdtgdt" hidden="1">#REF!</definedName>
    <definedName name="fgrertet" hidden="1">#REF!</definedName>
    <definedName name="fgsrete4" hidden="1">#REF!</definedName>
    <definedName name="Fin_CounterGraphJuly02" hidden="1">#REF!</definedName>
    <definedName name="fsgfgd45" hidden="1">#REF!</definedName>
    <definedName name="fsvfsvree4" hidden="1">#REF!</definedName>
    <definedName name="gdfg" hidden="1">#REF!</definedName>
    <definedName name="gdfg5e4" hidden="1">#REF!</definedName>
    <definedName name="gdfgdfg4" hidden="1">#REF!</definedName>
    <definedName name="gethjkkii" hidden="1">#REF!</definedName>
    <definedName name="gfdbbbbb54" hidden="1">#REF!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sdfgsfgdfg4" hidden="1">#REF!</definedName>
    <definedName name="gfsf4t43trtn" hidden="1">#REF!</definedName>
    <definedName name="gggggggg" hidden="1">#REF!</definedName>
    <definedName name="gggggggggggggg" hidden="1">#REF!</definedName>
    <definedName name="ggggggggggggggg" hidden="1">#REF!</definedName>
    <definedName name="gghhjy56" hidden="1">#REF!</definedName>
    <definedName name="gh" hidden="1">#REF!</definedName>
    <definedName name="ghfghtr" hidden="1">#REF!</definedName>
    <definedName name="gjjj656" hidden="1">#REF!</definedName>
    <definedName name="graph1" hidden="1">#REF!</definedName>
    <definedName name="graphcc" hidden="1">#REF!</definedName>
    <definedName name="hfgjfhutu" hidden="1">#REF!</definedName>
    <definedName name="hgfhhjukyljk7" hidden="1">#REF!</definedName>
    <definedName name="hghffhftdh2" hidden="1">#REF!</definedName>
    <definedName name="hhhhh6" hidden="1">#REF!</definedName>
    <definedName name="hhhhhhhhh" hidden="1">#REF!</definedName>
    <definedName name="HiddenRows" hidden="1">#REF!</definedName>
    <definedName name="hsrtggaxgdaf" hidden="1">#REF!</definedName>
    <definedName name="hthjhjhf" hidden="1">#REF!</definedName>
    <definedName name="HTML_CodePage" hidden="1">1252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Title" hidden="1">"sampstat525"</definedName>
    <definedName name="IDCCM" hidden="1">#REF!</definedName>
    <definedName name="iiiiiiiiiiii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41171.6600462963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OLVING_SECURED_1_–4_NON_ACCRUAL_FFIEC" hidden="1">"c15565"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hjuiufgd" hidden="1">#REF!</definedName>
    <definedName name="jjjjjjj7" hidden="1">#REF!</definedName>
    <definedName name="jjjjjjjjj" hidden="1">#REF!</definedName>
    <definedName name="jjklkjgkfgj87" hidden="1">#REF!</definedName>
    <definedName name="K2_WBEVMODE" hidden="1">0</definedName>
    <definedName name="kghjff" hidden="1">#REF!</definedName>
    <definedName name="llllllllllllllllll" hidden="1">#REF!</definedName>
    <definedName name="mmmm" hidden="1">#REF!</definedName>
    <definedName name="mmmmkkl9" hidden="1">#REF!</definedName>
    <definedName name="nbcrrr" hidden="1">#REF!</definedName>
    <definedName name="new" hidden="1">#REF!</definedName>
    <definedName name="nfhnhj7" hidden="1">#REF!</definedName>
    <definedName name="nhfdh6" hidden="1">#REF!</definedName>
    <definedName name="nnn" hidden="1">#REF!</definedName>
    <definedName name="nnnnnn6" hidden="1">#REF!</definedName>
    <definedName name="nnnnnnnnnnnnnnn" hidden="1">#REF!</definedName>
    <definedName name="OrderTable" hidden="1">#REF!</definedName>
    <definedName name="Pam" hidden="1">#REF!</definedName>
    <definedName name="pcbagraph" hidden="1">#REF!</definedName>
    <definedName name="_xlnm.Print_Area" localSheetId="0">'FY26 P&amp;L Actuals'!$A$1:$O$45</definedName>
    <definedName name="_xlnm.Print_Area" localSheetId="1">'Sch 6 - FY26 BS Actuals'!$A$37:$H$55</definedName>
    <definedName name="_xlnm.Print_Area" localSheetId="2">'Sch 7 - CF'!$A$2:$T$55</definedName>
    <definedName name="ProdForm" hidden="1">#REF!</definedName>
    <definedName name="Product" hidden="1">#REF!</definedName>
    <definedName name="qqq" hidden="1">#REF!</definedName>
    <definedName name="qrfwrw443" hidden="1">#REF!</definedName>
    <definedName name="qxö" hidden="1">#REF!</definedName>
    <definedName name="RCArea" hidden="1">#REF!</definedName>
    <definedName name="rghgdbrtr" hidden="1">#REF!</definedName>
    <definedName name="rrrrrrrrr" hidden="1">#REF!</definedName>
    <definedName name="rrrrrrrrrrrrrr" hidden="1">#REF!</definedName>
    <definedName name="s" hidden="1">#REF!</definedName>
    <definedName name="sadfgsfga4" hidden="1">#REF!</definedName>
    <definedName name="sdfgsgdsh54" hidden="1">#REF!</definedName>
    <definedName name="sdfwefewfse" hidden="1">#REF!</definedName>
    <definedName name="SpecialPrice" hidden="1">#REF!</definedName>
    <definedName name="sss" hidden="1">#REF!</definedName>
    <definedName name="sssssss" hidden="1">#REF!</definedName>
    <definedName name="tbl_ProdInfo" hidden="1">#REF!</definedName>
    <definedName name="tr" hidden="1">#REF!</definedName>
    <definedName name="ttt" hidden="1">#REF!</definedName>
    <definedName name="ttttttttttt" hidden="1">#REF!</definedName>
    <definedName name="uuuuuuuuu" hidden="1">#REF!</definedName>
    <definedName name="uuuuuuuuuuuuuuu" hidden="1">#REF!</definedName>
    <definedName name="vdfgwfwef" hidden="1">#REF!</definedName>
    <definedName name="vdfvrfrw3" hidden="1">#REF!</definedName>
    <definedName name="vfdfrgr" hidden="1">#REF!</definedName>
    <definedName name="VI" hidden="1">#REF!</definedName>
    <definedName name="vvvv4" hidden="1">#REF!</definedName>
    <definedName name="vvvvvvvvvvv" hidden="1">#REF!</definedName>
    <definedName name="www" hidden="1">#REF!</definedName>
    <definedName name="wwwwwwwwwww" hidden="1">#REF!</definedName>
    <definedName name="x" hidden="1">#REF!</definedName>
    <definedName name="y" hidden="1">#REF!</definedName>
    <definedName name="ydf" hidden="1">#REF!</definedName>
    <definedName name="yyyyyyyyyyyyy" hidden="1">#REF!</definedName>
    <definedName name="Z_3B70F567_9808_4297_9682_681A6C56DA78_.wvu.PrintArea" localSheetId="0" hidden="1">'FY26 P&amp;L Actuals'!$A$1:$O$45,#REF!,'FY26 P&amp;L Actuals'!#REF!,'FY26 P&amp;L Actuals'!$A$89:$O$89</definedName>
    <definedName name="Z_8A59F33B_9A86_4307_8750_8AF76CC1EE0D_.wvu.PrintArea" localSheetId="0" hidden="1">'FY26 P&amp;L Actuals'!$A$1:$O$45,#REF!,'FY26 P&amp;L Actuals'!#REF!,'FY26 P&amp;L Actuals'!$A$89:$O$89</definedName>
    <definedName name="Z_B2A8F107_4B81_46A2_9D24_30F22235F229_.wvu.PrintArea" localSheetId="0" hidden="1">'FY26 P&amp;L Actuals'!$A$1:$O$45,#REF!,'FY26 P&amp;L Actuals'!#REF!,'FY26 P&amp;L Actuals'!$A$89:$O$89</definedName>
    <definedName name="zzz" hidden="1">#REF!</definedName>
    <definedName name="z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10" i="1"/>
  <c r="O13" i="1"/>
  <c r="O17" i="1"/>
  <c r="O23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11" i="1" l="1"/>
  <c r="O18" i="1"/>
  <c r="O15" i="1" l="1"/>
  <c r="O25" i="1"/>
  <c r="O26" i="1" s="1"/>
  <c r="O20" i="1"/>
  <c r="O21" i="1" s="1"/>
  <c r="O16" i="1"/>
  <c r="O45" i="1" l="1"/>
  <c r="S54" i="3" l="1"/>
  <c r="S53" i="3"/>
  <c r="S48" i="3"/>
  <c r="S47" i="3"/>
  <c r="S46" i="3"/>
  <c r="S45" i="3"/>
  <c r="S44" i="3"/>
  <c r="S43" i="3"/>
  <c r="S41" i="3"/>
  <c r="S40" i="3"/>
  <c r="S39" i="3"/>
  <c r="S38" i="3"/>
  <c r="K50" i="3"/>
  <c r="J50" i="3"/>
  <c r="G50" i="3"/>
  <c r="R50" i="3"/>
  <c r="Q50" i="3"/>
  <c r="P50" i="3"/>
  <c r="M50" i="3"/>
  <c r="L50" i="3"/>
  <c r="I50" i="3"/>
  <c r="H50" i="3"/>
  <c r="S35" i="3"/>
  <c r="I32" i="3"/>
  <c r="J32" i="3"/>
  <c r="S30" i="3"/>
  <c r="S29" i="3"/>
  <c r="L32" i="3"/>
  <c r="S28" i="3"/>
  <c r="P32" i="3"/>
  <c r="M32" i="3"/>
  <c r="S27" i="3"/>
  <c r="R32" i="3"/>
  <c r="Q32" i="3"/>
  <c r="K32" i="3"/>
  <c r="H32" i="3"/>
  <c r="G32" i="3"/>
  <c r="S20" i="3"/>
  <c r="Q18" i="3"/>
  <c r="Q22" i="3" s="1"/>
  <c r="R18" i="3"/>
  <c r="R22" i="3" s="1"/>
  <c r="S17" i="3"/>
  <c r="S16" i="3"/>
  <c r="L18" i="3"/>
  <c r="L22" i="3" s="1"/>
  <c r="H18" i="3"/>
  <c r="H22" i="3" s="1"/>
  <c r="S15" i="3"/>
  <c r="I18" i="3"/>
  <c r="I22" i="3" s="1"/>
  <c r="S14" i="3"/>
  <c r="P18" i="3"/>
  <c r="P22" i="3" s="1"/>
  <c r="M18" i="3"/>
  <c r="M22" i="3" s="1"/>
  <c r="K18" i="3"/>
  <c r="K22" i="3" s="1"/>
  <c r="J18" i="3"/>
  <c r="J22" i="3" s="1"/>
  <c r="G18" i="3"/>
  <c r="S10" i="3"/>
  <c r="S9" i="3"/>
  <c r="S8" i="3"/>
  <c r="S7" i="3"/>
  <c r="I79" i="2"/>
  <c r="G79" i="2"/>
  <c r="I67" i="2"/>
  <c r="H67" i="2"/>
  <c r="G67" i="2"/>
  <c r="M63" i="2"/>
  <c r="M50" i="2"/>
  <c r="J50" i="2"/>
  <c r="M45" i="2"/>
  <c r="G45" i="2"/>
  <c r="M30" i="2"/>
  <c r="K30" i="2"/>
  <c r="P19" i="2"/>
  <c r="M19" i="2"/>
  <c r="K19" i="2"/>
  <c r="H19" i="2"/>
  <c r="L86" i="1"/>
  <c r="K86" i="1"/>
  <c r="J52" i="3" l="1"/>
  <c r="H52" i="3"/>
  <c r="K52" i="3"/>
  <c r="K32" i="2"/>
  <c r="Q52" i="3"/>
  <c r="Q55" i="3" s="1"/>
  <c r="P52" i="3"/>
  <c r="P55" i="3" s="1"/>
  <c r="I52" i="3"/>
  <c r="L52" i="3"/>
  <c r="S18" i="3"/>
  <c r="G22" i="3"/>
  <c r="G52" i="3" s="1"/>
  <c r="G55" i="3" s="1"/>
  <c r="M52" i="3"/>
  <c r="R52" i="3"/>
  <c r="R55" i="3" s="1"/>
  <c r="S6" i="3"/>
  <c r="S13" i="3"/>
  <c r="S26" i="3"/>
  <c r="S32" i="3" s="1"/>
  <c r="S42" i="3"/>
  <c r="S36" i="3"/>
  <c r="M32" i="2"/>
  <c r="G19" i="2"/>
  <c r="G30" i="2"/>
  <c r="M54" i="2"/>
  <c r="I50" i="2"/>
  <c r="H30" i="2"/>
  <c r="H32" i="2" s="1"/>
  <c r="I30" i="2"/>
  <c r="G63" i="2"/>
  <c r="H63" i="2"/>
  <c r="G50" i="2"/>
  <c r="G54" i="2" s="1"/>
  <c r="H50" i="2"/>
  <c r="H79" i="2"/>
  <c r="I19" i="2"/>
  <c r="I63" i="2"/>
  <c r="P32" i="2"/>
  <c r="H45" i="2"/>
  <c r="I45" i="2"/>
  <c r="J30" i="2"/>
  <c r="J45" i="2"/>
  <c r="J54" i="2" s="1"/>
  <c r="J63" i="2"/>
  <c r="K45" i="2"/>
  <c r="K50" i="2"/>
  <c r="K63" i="2"/>
  <c r="K67" i="2"/>
  <c r="K79" i="2"/>
  <c r="J19" i="2"/>
  <c r="L19" i="2"/>
  <c r="L30" i="2"/>
  <c r="L45" i="2"/>
  <c r="L50" i="2"/>
  <c r="L63" i="2"/>
  <c r="L67" i="2"/>
  <c r="L79" i="2"/>
  <c r="M67" i="2"/>
  <c r="M79" i="2"/>
  <c r="J79" i="2"/>
  <c r="J67" i="2"/>
  <c r="P30" i="2"/>
  <c r="P45" i="2"/>
  <c r="P50" i="2"/>
  <c r="P63" i="2"/>
  <c r="P67" i="2"/>
  <c r="P79" i="2"/>
  <c r="Q19" i="2"/>
  <c r="Q30" i="2"/>
  <c r="Q45" i="2"/>
  <c r="Q50" i="2"/>
  <c r="Q63" i="2"/>
  <c r="Q67" i="2"/>
  <c r="Q79" i="2"/>
  <c r="R19" i="2"/>
  <c r="R30" i="2"/>
  <c r="R45" i="2"/>
  <c r="R50" i="2"/>
  <c r="R63" i="2"/>
  <c r="R67" i="2"/>
  <c r="R79" i="2"/>
  <c r="E86" i="1"/>
  <c r="F86" i="1"/>
  <c r="G86" i="1"/>
  <c r="I86" i="1"/>
  <c r="H86" i="1"/>
  <c r="J86" i="1"/>
  <c r="C86" i="1"/>
  <c r="D86" i="1"/>
  <c r="I54" i="2" l="1"/>
  <c r="I83" i="2" s="1"/>
  <c r="M83" i="2"/>
  <c r="G32" i="2"/>
  <c r="G83" i="2"/>
  <c r="S22" i="3"/>
  <c r="S50" i="3"/>
  <c r="H54" i="3"/>
  <c r="H55" i="3" s="1"/>
  <c r="S52" i="3"/>
  <c r="S55" i="3" s="1"/>
  <c r="L54" i="2"/>
  <c r="L83" i="2" s="1"/>
  <c r="J32" i="2"/>
  <c r="Q54" i="2"/>
  <c r="Q83" i="2" s="1"/>
  <c r="H54" i="2"/>
  <c r="H83" i="2" s="1"/>
  <c r="K54" i="2"/>
  <c r="K83" i="2" s="1"/>
  <c r="Q32" i="2"/>
  <c r="R32" i="2"/>
  <c r="L32" i="2"/>
  <c r="P54" i="2"/>
  <c r="P83" i="2" s="1"/>
  <c r="J83" i="2"/>
  <c r="I32" i="2"/>
  <c r="R54" i="2"/>
  <c r="R83" i="2" s="1"/>
  <c r="I54" i="3" l="1"/>
  <c r="I55" i="3" s="1"/>
  <c r="J54" i="3" l="1"/>
  <c r="J55" i="3" s="1"/>
  <c r="K54" i="3" l="1"/>
  <c r="K55" i="3" s="1"/>
  <c r="L54" i="3" l="1"/>
  <c r="L55" i="3" s="1"/>
  <c r="M54" i="3" l="1"/>
  <c r="M5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Christy</author>
  </authors>
  <commentList>
    <comment ref="A59" authorId="0" shapeId="0" xr:uid="{375C8A1B-745C-4051-927D-211733C78533}">
      <text>
        <r>
          <rPr>
            <b/>
            <sz val="9"/>
            <color indexed="81"/>
            <rFont val="Tahoma"/>
            <family val="2"/>
          </rPr>
          <t>Scott Christy:</t>
        </r>
        <r>
          <rPr>
            <sz val="9"/>
            <color indexed="81"/>
            <rFont val="Tahoma"/>
            <family val="2"/>
          </rPr>
          <t xml:space="preserve">
Kinaxis and Icentris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Rich Werner</author>
  </authors>
  <commentList>
    <comment ref="G53" authorId="0" shapeId="0" xr:uid="{D2301540-300B-4671-87E1-55F7C36CA986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H53" authorId="0" shapeId="0" xr:uid="{B2C28FFC-7849-49DD-A104-8072C26F2682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I53" authorId="0" shapeId="0" xr:uid="{5DA40614-E2AA-45C5-B566-2F26E9641694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J53" authorId="0" shapeId="0" xr:uid="{1A0C0A20-E3D8-4D10-B94A-85070B52E2D4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K53" authorId="0" shapeId="0" xr:uid="{0B2CD064-734D-4BE9-AA3A-9239BF4D74AC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L53" authorId="0" shapeId="0" xr:uid="{E46EC209-C9F3-4896-9877-13D2D3237677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M53" authorId="0" shapeId="0" xr:uid="{E35A8DAF-87C3-46B9-9314-1521CFA96621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N53" authorId="0" shapeId="0" xr:uid="{A7198CC7-73E3-48A3-ABC4-DD00715B1720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O53" authorId="0" shapeId="0" xr:uid="{BDEE4D8F-63C1-4B04-AF26-3A6BF98C1056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P53" authorId="0" shapeId="0" xr:uid="{0AAC8D3B-1497-462B-8BE1-DD121B24AB2D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Q53" authorId="0" shapeId="0" xr:uid="{DEBEE505-2008-466C-A21C-C004CF0096AF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  <comment ref="R53" authorId="0" shapeId="0" xr:uid="{F0BFE2D5-B0B6-4DB5-A370-D396C3F69C60}">
      <text>
        <r>
          <rPr>
            <b/>
            <sz val="9"/>
            <color indexed="81"/>
            <rFont val="Tahoma"/>
            <family val="2"/>
          </rPr>
          <t>Rich Werner:</t>
        </r>
        <r>
          <rPr>
            <sz val="9"/>
            <color indexed="81"/>
            <rFont val="Tahoma"/>
            <family val="2"/>
          </rPr>
          <t xml:space="preserve">
Formula in March is different from subsequent months goes to prior yr Feb bal
</t>
        </r>
      </text>
    </comment>
  </commentList>
</comments>
</file>

<file path=xl/sharedStrings.xml><?xml version="1.0" encoding="utf-8"?>
<sst xmlns="http://schemas.openxmlformats.org/spreadsheetml/2006/main" count="196" uniqueCount="159">
  <si>
    <t>Consolidated Financial Statements</t>
  </si>
  <si>
    <t>$ 000 In USD</t>
  </si>
  <si>
    <t>Income Statement</t>
  </si>
  <si>
    <t>Total</t>
  </si>
  <si>
    <t>Sales</t>
  </si>
  <si>
    <t>Gross Sales</t>
  </si>
  <si>
    <t>Sales Adjustments</t>
  </si>
  <si>
    <t>Net Sales</t>
  </si>
  <si>
    <t>Cost of Goods Sold (Excl. Depr)</t>
  </si>
  <si>
    <t>Gross Profit</t>
  </si>
  <si>
    <t>SG&amp;A (Excl. Depr)</t>
  </si>
  <si>
    <t>SGA % Sales</t>
  </si>
  <si>
    <t>Operating Income</t>
  </si>
  <si>
    <t>% of Sales</t>
  </si>
  <si>
    <t>Other (income)/expense</t>
  </si>
  <si>
    <t>EBITDA</t>
  </si>
  <si>
    <t>Depreciation - Production</t>
  </si>
  <si>
    <t>Depreciation - SG&amp;A</t>
  </si>
  <si>
    <t>OH-Amort ROU Asset Finance</t>
  </si>
  <si>
    <t>Amort ROU Asset Finance - SG&amp;A</t>
  </si>
  <si>
    <t>Amort ROU Asset Operating- COS</t>
  </si>
  <si>
    <t>Amort ROU Asset Operating-SG&amp;A</t>
  </si>
  <si>
    <t>Amortization - LT assets</t>
  </si>
  <si>
    <t>Amortization - Goodwill</t>
  </si>
  <si>
    <t>Goodwill Impairment</t>
  </si>
  <si>
    <t>Management Fees</t>
  </si>
  <si>
    <t>Other corporate expenses</t>
  </si>
  <si>
    <t>Management Adjustments-One Time</t>
  </si>
  <si>
    <t>Other Expenses - OH</t>
  </si>
  <si>
    <t>Intercompany Markup</t>
  </si>
  <si>
    <t xml:space="preserve">Interest expenses </t>
  </si>
  <si>
    <t>Gain/Loss on disposal of assets</t>
  </si>
  <si>
    <t>Tax</t>
  </si>
  <si>
    <t>Net Income</t>
  </si>
  <si>
    <t>Candle-lite/Luminex</t>
  </si>
  <si>
    <t>Balance Sheet ($000's)</t>
  </si>
  <si>
    <t>Mapping</t>
  </si>
  <si>
    <t>ASSETS</t>
  </si>
  <si>
    <t>Current assets</t>
  </si>
  <si>
    <t>Cash</t>
  </si>
  <si>
    <t>Accounts receivable -TP</t>
  </si>
  <si>
    <t>Accounts Receivable</t>
  </si>
  <si>
    <t>Allowance for doubtful account/reserves</t>
  </si>
  <si>
    <t>Accounts receivable -Others</t>
  </si>
  <si>
    <t>Inventory</t>
  </si>
  <si>
    <t>Inventory Reserves</t>
  </si>
  <si>
    <t>Prepaid expense and other assets</t>
  </si>
  <si>
    <t>Prepaid and Other</t>
  </si>
  <si>
    <t>Tax recoverable</t>
  </si>
  <si>
    <t>Tax Asset - Current</t>
  </si>
  <si>
    <t>Deferred tax assets - current</t>
  </si>
  <si>
    <t>Other current assets</t>
  </si>
  <si>
    <t>Total Current Assets</t>
  </si>
  <si>
    <t>Long-Term assets</t>
  </si>
  <si>
    <t>Property, plant and equipment</t>
  </si>
  <si>
    <t>PP&amp;E</t>
  </si>
  <si>
    <t>Right of Use Asset - Finance</t>
  </si>
  <si>
    <t>Right of Use Asset - Operating</t>
  </si>
  <si>
    <t>Intangible assets</t>
  </si>
  <si>
    <t>Goodwill/Intangibles</t>
  </si>
  <si>
    <t>Goodwill</t>
  </si>
  <si>
    <t>Intercompany - PartyLite</t>
  </si>
  <si>
    <t>Intercompany AR</t>
  </si>
  <si>
    <t>Deferred taxes assets</t>
  </si>
  <si>
    <t>Tax Asset - Long Term</t>
  </si>
  <si>
    <t>Other long-term assets</t>
  </si>
  <si>
    <t>Other LT Assets</t>
  </si>
  <si>
    <t>Total Long-Term Assets</t>
  </si>
  <si>
    <t>Total Assets</t>
  </si>
  <si>
    <t>LIABILITIES AND SHAREHOLDERS EQUITY</t>
  </si>
  <si>
    <t>Current liabilities</t>
  </si>
  <si>
    <t>Interest payable -TP</t>
  </si>
  <si>
    <t>Other Current Liabilities</t>
  </si>
  <si>
    <t>Current Portion of Financing Obligation</t>
  </si>
  <si>
    <t>Current Portion - LTD</t>
  </si>
  <si>
    <t>Short-term financial liabilities - Revolver</t>
  </si>
  <si>
    <t>Revolver</t>
  </si>
  <si>
    <t>Current portion of long-term debt - Capital Leases</t>
  </si>
  <si>
    <t>Current portion of long-term debt - Operating Leases</t>
  </si>
  <si>
    <t>Current portion of long-term financing obligation</t>
  </si>
  <si>
    <t>Current portion of long-term debt - Term Loan</t>
  </si>
  <si>
    <t>Current Portion - Prospect</t>
  </si>
  <si>
    <t>Current financial liabilities</t>
  </si>
  <si>
    <t>Accounts payable - TP</t>
  </si>
  <si>
    <t>Accounts Payable</t>
  </si>
  <si>
    <t>Advanced payments from customers</t>
  </si>
  <si>
    <t>Other current liabilities</t>
  </si>
  <si>
    <t>Income tax payable</t>
  </si>
  <si>
    <t>Tax Liab - Current</t>
  </si>
  <si>
    <t>Deferred tax liabilities - current</t>
  </si>
  <si>
    <t>Total Current Liabilities</t>
  </si>
  <si>
    <t>Long-Term liabilities</t>
  </si>
  <si>
    <t>Long-term financial liabilities - Capital Lease</t>
  </si>
  <si>
    <t>LT Debt</t>
  </si>
  <si>
    <t>Long-term financial liabilities - Operating Leases</t>
  </si>
  <si>
    <t>Long-term financial liabilities - Other Financing</t>
  </si>
  <si>
    <t>Note Payable - eCapital</t>
  </si>
  <si>
    <t>Long-term financial liabilities - Financing Obligation</t>
  </si>
  <si>
    <t>Long-term financial liabilities - Term Loan</t>
  </si>
  <si>
    <t>Long Term Financial Liabilities</t>
  </si>
  <si>
    <t>Other long-term liabilities</t>
  </si>
  <si>
    <t>Other LT Liab</t>
  </si>
  <si>
    <t>Deferred income tax liabilities</t>
  </si>
  <si>
    <t>Tax Liab - Long Term</t>
  </si>
  <si>
    <t>Total Long-Term Liabilities</t>
  </si>
  <si>
    <t>Shareholders' equity</t>
  </si>
  <si>
    <t>Common stock</t>
  </si>
  <si>
    <t>Equity</t>
  </si>
  <si>
    <t>Preferred Stock</t>
  </si>
  <si>
    <t>Share capital</t>
  </si>
  <si>
    <t>Treasury Stock</t>
  </si>
  <si>
    <t>Retained Earnings - Prior Year</t>
  </si>
  <si>
    <t>Retained Earnings - Current Year</t>
  </si>
  <si>
    <t>Dividends Paid</t>
  </si>
  <si>
    <t>Other Comp Income (OCI)</t>
  </si>
  <si>
    <t>Foreign exchange reserve</t>
  </si>
  <si>
    <t>Total Shareholders' Equity</t>
  </si>
  <si>
    <t>Noncontrolling Interest</t>
  </si>
  <si>
    <t>Total liabilities and shareholders' equity</t>
  </si>
  <si>
    <t>check</t>
  </si>
  <si>
    <t>Statement of Cash flow ($000's)</t>
  </si>
  <si>
    <t>.</t>
  </si>
  <si>
    <t>Net Income Before Tax</t>
  </si>
  <si>
    <t>Depreciation and Amortization</t>
  </si>
  <si>
    <t>Interest Expenses</t>
  </si>
  <si>
    <t>Deferred Income tax</t>
  </si>
  <si>
    <t>Other non-cash items</t>
  </si>
  <si>
    <t>Changes in Working Capital:</t>
  </si>
  <si>
    <t>Prepaid and other Receivables</t>
  </si>
  <si>
    <t>Accounts Payables, Accruals and Deposits from Customers</t>
  </si>
  <si>
    <t>Other Current Liabilities &amp; Non-Current Liabilities</t>
  </si>
  <si>
    <t>Change in NWC</t>
  </si>
  <si>
    <t>Income Taxes Paid</t>
  </si>
  <si>
    <t>Change from Operating Activities</t>
  </si>
  <si>
    <t>Investing Activities</t>
  </si>
  <si>
    <t xml:space="preserve">Net capital expenditures </t>
  </si>
  <si>
    <t>Proceeds from sale of fixed assets</t>
  </si>
  <si>
    <t>Decrease (Increase) on Other Long-term assets</t>
  </si>
  <si>
    <t>Decrease (Increase) Deferred Transaction Costs</t>
  </si>
  <si>
    <t>Change from Investing Activities</t>
  </si>
  <si>
    <t>Financing Activities</t>
  </si>
  <si>
    <t>Repayment of Finance Leases</t>
  </si>
  <si>
    <t>Change in Intercompany</t>
  </si>
  <si>
    <t>Parent's Net Investment</t>
  </si>
  <si>
    <t>Change in Cash Revolver</t>
  </si>
  <si>
    <t>Change in Equipment Revolver</t>
  </si>
  <si>
    <t>Loan Repayment - LT</t>
  </si>
  <si>
    <t>Issue of New Loans/Capital Leases</t>
  </si>
  <si>
    <t>Issue of New Loans</t>
  </si>
  <si>
    <t>New Capital Leases</t>
  </si>
  <si>
    <t>Capital Lease Principle Payments</t>
  </si>
  <si>
    <t>Share Capital Injection / Distribution</t>
  </si>
  <si>
    <t>Financing activities of discontinued ops</t>
  </si>
  <si>
    <t xml:space="preserve">Interest Paid </t>
  </si>
  <si>
    <t>Change from Financing Activities</t>
  </si>
  <si>
    <t xml:space="preserve">Change in Cash </t>
  </si>
  <si>
    <t>Foreign Exchange</t>
  </si>
  <si>
    <t>Opening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</si>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</sst>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[$-409]mmmm\ d\,\ yyyy;@"/>
    <numFmt numFmtId="165" formatCode="_(* #,##0_);_(* \(#,##0\);_(* &quot;-&quot;??_);_(@_)"/>
    <numFmt numFmtId="166" formatCode="_-* #,##0.00_-;\-* #,##0.00_-;_-* &quot;-&quot;??_-;_-@_-"/>
    <numFmt numFmtId="167" formatCode="0.0%"/>
    <numFmt numFmtId="168" formatCode="0.000%"/>
    <numFmt numFmtId="169" formatCode="_(* #,##0.0000_);_(* \(#,##0.0000\);_(* &quot;-&quot;??_);_(@_)"/>
    <numFmt numFmtId="170" formatCode="_-* #,##0_-;\-* #,##0_-;_-* &quot;-&quot;??_-;_-@_-"/>
    <numFmt numFmtId="171" formatCode="_(&quot;$&quot;* #,##0_);_(&quot;$&quot;* \(#,##0\);_(&quot;$&quot;* &quot;-&quot;??_);_(@_)"/>
    <numFmt numFmtId="172" formatCode="#,###_ ;\(#,###\);\ \-__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name val="Tahoma"/>
      <family val="2"/>
    </font>
    <font>
      <sz val="12"/>
      <name val="新細明體"/>
      <family val="1"/>
      <charset val="136"/>
    </font>
    <font>
      <sz val="11"/>
      <color rgb="FF008000"/>
      <name val="Tahoma"/>
      <family val="2"/>
    </font>
    <font>
      <b/>
      <sz val="11"/>
      <color theme="0"/>
      <name val="Tahoma"/>
      <family val="2"/>
    </font>
    <font>
      <b/>
      <sz val="11"/>
      <name val="Tahoma"/>
      <family val="2"/>
    </font>
    <font>
      <i/>
      <sz val="11"/>
      <color theme="1"/>
      <name val="Tahoma"/>
      <family val="2"/>
    </font>
    <font>
      <i/>
      <sz val="11"/>
      <name val="Tahoma"/>
      <family val="2"/>
    </font>
    <font>
      <sz val="9"/>
      <color theme="1"/>
      <name val="Tahoma"/>
      <family val="2"/>
    </font>
    <font>
      <sz val="11"/>
      <color theme="0" tint="-0.14999847407452621"/>
      <name val="Tahoma"/>
      <family val="2"/>
    </font>
    <font>
      <sz val="11"/>
      <color theme="0"/>
      <name val="Tahoma"/>
      <family val="2"/>
    </font>
    <font>
      <sz val="11"/>
      <color rgb="FF00B0F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67">
    <xf numFmtId="0" fontId="0" fillId="0" borderId="0" xfId="0"/>
    <xf numFmtId="165" fontId="3" fillId="0" borderId="1" xfId="1" applyNumberFormat="1" applyFont="1" applyFill="1" applyBorder="1"/>
    <xf numFmtId="165" fontId="8" fillId="0" borderId="1" xfId="1" applyNumberFormat="1" applyFont="1" applyFill="1" applyBorder="1"/>
    <xf numFmtId="165" fontId="3" fillId="0" borderId="0" xfId="1" applyNumberFormat="1" applyFont="1" applyFill="1" applyBorder="1"/>
    <xf numFmtId="167" fontId="9" fillId="0" borderId="0" xfId="3" applyNumberFormat="1" applyFont="1" applyFill="1" applyBorder="1"/>
    <xf numFmtId="167" fontId="9" fillId="0" borderId="0" xfId="3" applyNumberFormat="1" applyFont="1" applyFill="1"/>
    <xf numFmtId="167" fontId="10" fillId="0" borderId="0" xfId="3" applyNumberFormat="1" applyFont="1" applyFill="1"/>
    <xf numFmtId="165" fontId="8" fillId="0" borderId="3" xfId="1" applyNumberFormat="1" applyFont="1" applyFill="1" applyBorder="1"/>
    <xf numFmtId="165" fontId="3" fillId="0" borderId="3" xfId="1" applyNumberFormat="1" applyFont="1" applyFill="1" applyBorder="1"/>
    <xf numFmtId="165" fontId="8" fillId="0" borderId="5" xfId="1" applyNumberFormat="1" applyFont="1" applyFill="1" applyBorder="1"/>
    <xf numFmtId="171" fontId="2" fillId="0" borderId="0" xfId="2" applyNumberFormat="1" applyFont="1" applyFill="1"/>
    <xf numFmtId="165" fontId="4" fillId="0" borderId="0" xfId="1" applyNumberFormat="1" applyFont="1" applyFill="1"/>
    <xf numFmtId="17" fontId="2" fillId="0" borderId="0" xfId="0" applyNumberFormat="1" applyFont="1"/>
    <xf numFmtId="0" fontId="3" fillId="0" borderId="0" xfId="0" applyFont="1"/>
    <xf numFmtId="0" fontId="2" fillId="0" borderId="0" xfId="0" applyFont="1"/>
    <xf numFmtId="17" fontId="2" fillId="0" borderId="0" xfId="0" applyNumberFormat="1" applyFont="1" applyAlignment="1">
      <alignment horizontal="left"/>
    </xf>
    <xf numFmtId="164" fontId="6" fillId="0" borderId="0" xfId="4" applyNumberFormat="1" applyFont="1" applyAlignment="1">
      <alignment horizontal="left" vertical="top"/>
    </xf>
    <xf numFmtId="0" fontId="7" fillId="0" borderId="0" xfId="0" applyFont="1"/>
    <xf numFmtId="17" fontId="7" fillId="0" borderId="0" xfId="0" applyNumberFormat="1" applyFont="1" applyAlignment="1">
      <alignment horizontal="center"/>
    </xf>
    <xf numFmtId="165" fontId="2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0" fontId="3" fillId="0" borderId="1" xfId="0" applyFont="1" applyBorder="1"/>
    <xf numFmtId="165" fontId="3" fillId="0" borderId="1" xfId="0" applyNumberFormat="1" applyFont="1" applyBorder="1"/>
    <xf numFmtId="0" fontId="9" fillId="0" borderId="0" xfId="0" applyFont="1"/>
    <xf numFmtId="37" fontId="3" fillId="0" borderId="1" xfId="0" applyNumberFormat="1" applyFont="1" applyBorder="1"/>
    <xf numFmtId="0" fontId="3" fillId="0" borderId="2" xfId="0" applyFont="1" applyBorder="1"/>
    <xf numFmtId="0" fontId="10" fillId="0" borderId="2" xfId="0" applyFont="1" applyBorder="1" applyAlignment="1">
      <alignment vertical="top"/>
    </xf>
    <xf numFmtId="0" fontId="3" fillId="0" borderId="3" xfId="0" applyFont="1" applyBorder="1"/>
    <xf numFmtId="0" fontId="11" fillId="0" borderId="0" xfId="0" applyFont="1"/>
    <xf numFmtId="168" fontId="4" fillId="0" borderId="0" xfId="3" applyNumberFormat="1" applyFont="1" applyFill="1" applyBorder="1"/>
    <xf numFmtId="166" fontId="4" fillId="0" borderId="0" xfId="1" applyFont="1" applyFill="1" applyBorder="1"/>
    <xf numFmtId="0" fontId="4" fillId="0" borderId="0" xfId="0" applyFont="1"/>
    <xf numFmtId="167" fontId="2" fillId="0" borderId="0" xfId="3" applyNumberFormat="1" applyFont="1" applyFill="1"/>
    <xf numFmtId="44" fontId="2" fillId="0" borderId="0" xfId="2" applyFont="1" applyFill="1"/>
    <xf numFmtId="44" fontId="2" fillId="0" borderId="0" xfId="0" applyNumberFormat="1" applyFont="1"/>
    <xf numFmtId="0" fontId="4" fillId="0" borderId="0" xfId="5" applyFont="1" applyAlignment="1">
      <alignment horizontal="left" indent="2"/>
    </xf>
    <xf numFmtId="0" fontId="8" fillId="0" borderId="0" xfId="5" applyFont="1" applyAlignment="1">
      <alignment horizontal="left" indent="2" shrinkToFit="1"/>
    </xf>
    <xf numFmtId="0" fontId="4" fillId="0" borderId="0" xfId="5" applyFont="1" applyAlignment="1">
      <alignment horizontal="left" indent="2" shrinkToFit="1"/>
    </xf>
    <xf numFmtId="170" fontId="4" fillId="0" borderId="0" xfId="1" applyNumberFormat="1" applyFont="1" applyFill="1"/>
    <xf numFmtId="171" fontId="2" fillId="0" borderId="6" xfId="2" applyNumberFormat="1" applyFont="1" applyFill="1" applyBorder="1"/>
    <xf numFmtId="0" fontId="8" fillId="0" borderId="1" xfId="5" applyFont="1" applyBorder="1" applyAlignment="1">
      <alignment horizontal="left" indent="2" shrinkToFit="1"/>
    </xf>
    <xf numFmtId="172" fontId="8" fillId="0" borderId="1" xfId="1" applyNumberFormat="1" applyFont="1" applyFill="1" applyBorder="1"/>
    <xf numFmtId="171" fontId="3" fillId="0" borderId="1" xfId="2" applyNumberFormat="1" applyFont="1" applyFill="1" applyBorder="1"/>
    <xf numFmtId="172" fontId="8" fillId="0" borderId="1" xfId="0" applyNumberFormat="1" applyFont="1" applyBorder="1"/>
    <xf numFmtId="171" fontId="8" fillId="0" borderId="1" xfId="2" applyNumberFormat="1" applyFont="1" applyFill="1" applyBorder="1"/>
    <xf numFmtId="172" fontId="4" fillId="0" borderId="0" xfId="0" applyNumberFormat="1" applyFont="1"/>
    <xf numFmtId="171" fontId="4" fillId="0" borderId="0" xfId="2" applyNumberFormat="1" applyFont="1" applyFill="1" applyBorder="1"/>
    <xf numFmtId="171" fontId="4" fillId="0" borderId="0" xfId="2" applyNumberFormat="1" applyFont="1" applyFill="1"/>
    <xf numFmtId="172" fontId="8" fillId="0" borderId="0" xfId="0" applyNumberFormat="1" applyFont="1"/>
    <xf numFmtId="0" fontId="8" fillId="0" borderId="0" xfId="5" applyFont="1"/>
    <xf numFmtId="170" fontId="12" fillId="0" borderId="0" xfId="1" applyNumberFormat="1" applyFont="1" applyFill="1" applyAlignment="1">
      <alignment horizontal="center"/>
    </xf>
    <xf numFmtId="0" fontId="4" fillId="0" borderId="0" xfId="5" applyFont="1"/>
    <xf numFmtId="0" fontId="8" fillId="0" borderId="0" xfId="5" applyFont="1" applyAlignment="1">
      <alignment horizontal="left" indent="1"/>
    </xf>
    <xf numFmtId="0" fontId="8" fillId="0" borderId="1" xfId="5" applyFont="1" applyBorder="1" applyAlignment="1">
      <alignment horizontal="left" indent="2"/>
    </xf>
    <xf numFmtId="170" fontId="8" fillId="0" borderId="1" xfId="1" applyNumberFormat="1" applyFont="1" applyFill="1" applyBorder="1"/>
    <xf numFmtId="0" fontId="8" fillId="0" borderId="4" xfId="5" applyFont="1" applyBorder="1" applyAlignment="1">
      <alignment horizontal="left" indent="2"/>
    </xf>
    <xf numFmtId="170" fontId="8" fillId="0" borderId="4" xfId="1" applyNumberFormat="1" applyFont="1" applyFill="1" applyBorder="1"/>
    <xf numFmtId="0" fontId="8" fillId="0" borderId="0" xfId="5" applyFont="1" applyAlignment="1">
      <alignment horizontal="left" indent="2"/>
    </xf>
    <xf numFmtId="0" fontId="8" fillId="0" borderId="5" xfId="5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8" fillId="0" borderId="3" xfId="5" applyFont="1" applyBorder="1" applyAlignment="1">
      <alignment horizontal="left" indent="1"/>
    </xf>
    <xf numFmtId="0" fontId="13" fillId="0" borderId="0" xfId="0" applyFont="1"/>
    <xf numFmtId="169" fontId="14" fillId="0" borderId="0" xfId="0" applyNumberFormat="1" applyFont="1"/>
    <xf numFmtId="0" fontId="7" fillId="2" borderId="0" xfId="0" applyFont="1" applyFill="1"/>
    <xf numFmtId="17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4" xr:uid="{A68BA7A3-FA2C-479E-870D-265CBFE8C002}"/>
    <cellStyle name="Normal_Finanical statement format (2)" xfId="5" xr:uid="{650A73DA-EB70-4C64-95B6-7756E004A7E1}"/>
    <cellStyle name="Percent" xfId="3" builtinId="5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B7AE-0689-403E-A7D7-9B77D48D8199}">
  <sheetPr codeName="Sheet38">
    <tabColor rgb="FF00B050"/>
    <pageSetUpPr fitToPage="1"/>
  </sheetPr>
  <dimension ref="A1:AL89"/>
  <sheetViews>
    <sheetView tabSelected="1" zoomScale="80" zoomScaleNormal="80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8.81640625" defaultRowHeight="14" outlineLevelCol="2" x14ac:dyDescent="0.3"/>
  <cols>
    <col min="1" max="1" width="39.81640625" style="14" customWidth="1"/>
    <col min="2" max="3" width="13.54296875" style="14" customWidth="1"/>
    <col min="4" max="7" width="13.54296875" style="14" customWidth="1" outlineLevel="1"/>
    <col min="8" max="14" width="13.54296875" style="14" customWidth="1" outlineLevel="2"/>
    <col min="15" max="15" width="13.54296875" style="14" customWidth="1"/>
    <col min="16" max="16384" width="8.81640625" style="14"/>
  </cols>
  <sheetData>
    <row r="1" spans="1:15" x14ac:dyDescent="0.3">
      <c r="A1" s="12" t="s">
        <v>34</v>
      </c>
      <c r="B1" s="13"/>
      <c r="C1" s="13"/>
      <c r="D1" s="13"/>
      <c r="E1" s="13"/>
      <c r="F1" s="13"/>
    </row>
    <row r="2" spans="1:15" x14ac:dyDescent="0.3">
      <c r="A2" s="15">
        <v>45991</v>
      </c>
      <c r="B2" s="13"/>
      <c r="C2" s="13"/>
    </row>
    <row r="3" spans="1:15" ht="16.399999999999999" customHeight="1" x14ac:dyDescent="0.3">
      <c r="B3" s="13"/>
      <c r="C3" s="13"/>
    </row>
    <row r="4" spans="1:15" x14ac:dyDescent="0.3">
      <c r="A4" s="13" t="s">
        <v>0</v>
      </c>
    </row>
    <row r="5" spans="1:15" x14ac:dyDescent="0.3">
      <c r="A5" s="14" t="s">
        <v>1</v>
      </c>
    </row>
    <row r="6" spans="1:15" ht="30.65" customHeight="1" x14ac:dyDescent="0.3">
      <c r="A6" s="16"/>
    </row>
    <row r="7" spans="1:15" ht="38.15" customHeight="1" x14ac:dyDescent="0.3">
      <c r="A7" s="64" t="s">
        <v>2</v>
      </c>
      <c r="B7" s="65">
        <v>45626</v>
      </c>
      <c r="C7" s="65">
        <v>45657</v>
      </c>
      <c r="D7" s="65">
        <v>45688</v>
      </c>
      <c r="E7" s="65">
        <v>45716</v>
      </c>
      <c r="F7" s="65">
        <v>45747</v>
      </c>
      <c r="G7" s="65">
        <v>45777</v>
      </c>
      <c r="H7" s="65">
        <v>45808</v>
      </c>
      <c r="I7" s="65">
        <v>45838</v>
      </c>
      <c r="J7" s="65">
        <v>45869</v>
      </c>
      <c r="K7" s="65">
        <v>45900</v>
      </c>
      <c r="L7" s="65">
        <v>45930</v>
      </c>
      <c r="M7" s="65">
        <v>45961</v>
      </c>
      <c r="N7" s="65">
        <v>45991</v>
      </c>
      <c r="O7" s="66" t="s">
        <v>3</v>
      </c>
    </row>
    <row r="8" spans="1:15" x14ac:dyDescent="0.3">
      <c r="A8" s="13" t="s">
        <v>4</v>
      </c>
    </row>
    <row r="9" spans="1:15" x14ac:dyDescent="0.3">
      <c r="A9" s="14" t="s">
        <v>5</v>
      </c>
      <c r="B9" s="19">
        <v>14686.729549999998</v>
      </c>
      <c r="C9" s="19">
        <v>13162.659329999999</v>
      </c>
      <c r="D9" s="19">
        <v>7636.83662</v>
      </c>
      <c r="E9" s="19">
        <v>7382.3005200000007</v>
      </c>
      <c r="F9" s="19">
        <v>6717.5419900000015</v>
      </c>
      <c r="G9" s="19">
        <v>7548.3773199999996</v>
      </c>
      <c r="H9" s="19">
        <v>7460.6435899999997</v>
      </c>
      <c r="I9" s="19">
        <v>6473.71191</v>
      </c>
      <c r="J9" s="19">
        <v>7701.1852900000004</v>
      </c>
      <c r="K9" s="19">
        <v>6065.2739599999986</v>
      </c>
      <c r="L9" s="19">
        <v>8479.2592300000015</v>
      </c>
      <c r="M9" s="19">
        <v>9075.9521599999989</v>
      </c>
      <c r="N9" s="19">
        <v>4443.8267900000001</v>
      </c>
      <c r="O9" s="20">
        <f>+SUM(C9:N9)</f>
        <v>92147.568709999992</v>
      </c>
    </row>
    <row r="10" spans="1:15" x14ac:dyDescent="0.3">
      <c r="A10" s="14" t="s">
        <v>6</v>
      </c>
      <c r="B10" s="21">
        <v>-1604.9859599999997</v>
      </c>
      <c r="C10" s="21">
        <v>-1558.9180899999999</v>
      </c>
      <c r="D10" s="21">
        <v>-181.9943900000001</v>
      </c>
      <c r="E10" s="21">
        <v>-909.47643000000005</v>
      </c>
      <c r="F10" s="21">
        <v>-755.43205</v>
      </c>
      <c r="G10" s="21">
        <v>-1088.79638</v>
      </c>
      <c r="H10" s="21">
        <v>-756.56967000000009</v>
      </c>
      <c r="I10" s="21">
        <v>-797.79101000000014</v>
      </c>
      <c r="J10" s="21">
        <v>-920.94604000000004</v>
      </c>
      <c r="K10" s="21">
        <v>-595.65551000000016</v>
      </c>
      <c r="L10" s="21">
        <v>-1103.7929199999999</v>
      </c>
      <c r="M10" s="21">
        <v>-1044.1999799999999</v>
      </c>
      <c r="N10" s="21">
        <v>-612.64641000000006</v>
      </c>
      <c r="O10" s="20">
        <f>+SUM(C10:N10)</f>
        <v>-10326.218879999999</v>
      </c>
    </row>
    <row r="11" spans="1:15" x14ac:dyDescent="0.3">
      <c r="A11" s="22" t="s">
        <v>7</v>
      </c>
      <c r="B11" s="1">
        <v>13081.743589999998</v>
      </c>
      <c r="C11" s="1">
        <v>11603.741239999999</v>
      </c>
      <c r="D11" s="1">
        <v>7454.8422300000002</v>
      </c>
      <c r="E11" s="1">
        <v>6472.824090000001</v>
      </c>
      <c r="F11" s="1">
        <v>5962.1099400000012</v>
      </c>
      <c r="G11" s="1">
        <v>6459.5809399999998</v>
      </c>
      <c r="H11" s="1">
        <v>6704.0739199999998</v>
      </c>
      <c r="I11" s="1">
        <v>5675.9209000000001</v>
      </c>
      <c r="J11" s="1">
        <v>6780.2392500000005</v>
      </c>
      <c r="K11" s="1">
        <v>5469.6184499999981</v>
      </c>
      <c r="L11" s="1">
        <v>7375.4663100000016</v>
      </c>
      <c r="M11" s="1">
        <v>8031.7521799999995</v>
      </c>
      <c r="N11" s="1">
        <v>3831.1803799999998</v>
      </c>
      <c r="O11" s="1">
        <f>+SUM(O9:O10)</f>
        <v>81821.349829999992</v>
      </c>
    </row>
    <row r="12" spans="1:15" x14ac:dyDescent="0.3">
      <c r="O12" s="13"/>
    </row>
    <row r="13" spans="1:15" x14ac:dyDescent="0.3">
      <c r="A13" s="22" t="s">
        <v>8</v>
      </c>
      <c r="B13" s="2">
        <v>9324.8971500000061</v>
      </c>
      <c r="C13" s="2">
        <v>9310.8537200000119</v>
      </c>
      <c r="D13" s="2">
        <v>5762.2093699999996</v>
      </c>
      <c r="E13" s="2">
        <v>5614.7444700000033</v>
      </c>
      <c r="F13" s="2">
        <v>4704.5626300000013</v>
      </c>
      <c r="G13" s="2">
        <v>5279.6187999999956</v>
      </c>
      <c r="H13" s="2">
        <v>5125.9131299999981</v>
      </c>
      <c r="I13" s="2">
        <v>5496.6383800000003</v>
      </c>
      <c r="J13" s="2">
        <v>6170.888210000001</v>
      </c>
      <c r="K13" s="2">
        <v>4544.8825400000023</v>
      </c>
      <c r="L13" s="2">
        <v>6829.3152900000032</v>
      </c>
      <c r="M13" s="2">
        <v>8553.1264999999948</v>
      </c>
      <c r="N13" s="2">
        <v>3700.8628800000038</v>
      </c>
      <c r="O13" s="23">
        <f>+SUM(C13:N13)</f>
        <v>71093.615920000026</v>
      </c>
    </row>
    <row r="14" spans="1:15" x14ac:dyDescent="0.3">
      <c r="A14" s="2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13" t="s">
        <v>9</v>
      </c>
      <c r="B15" s="3">
        <v>3756.8464399999921</v>
      </c>
      <c r="C15" s="3">
        <v>2292.8875199999875</v>
      </c>
      <c r="D15" s="3">
        <v>1692.6328600000006</v>
      </c>
      <c r="E15" s="3">
        <v>858.0796199999977</v>
      </c>
      <c r="F15" s="3">
        <v>1257.5473099999999</v>
      </c>
      <c r="G15" s="3">
        <v>1179.9621400000042</v>
      </c>
      <c r="H15" s="3">
        <v>1578.1607900000017</v>
      </c>
      <c r="I15" s="3">
        <v>179.28251999999975</v>
      </c>
      <c r="J15" s="3">
        <v>609.35103999999956</v>
      </c>
      <c r="K15" s="3">
        <v>924.73590999999578</v>
      </c>
      <c r="L15" s="3">
        <v>546.15101999999843</v>
      </c>
      <c r="M15" s="3">
        <v>-521.37431999999535</v>
      </c>
      <c r="N15" s="3">
        <v>130.31749999999602</v>
      </c>
      <c r="O15" s="3">
        <f>+SUM(C15:N15)</f>
        <v>10727.733909999986</v>
      </c>
    </row>
    <row r="16" spans="1:15" s="24" customFormat="1" x14ac:dyDescent="0.3">
      <c r="B16" s="4">
        <v>0.28718239385702504</v>
      </c>
      <c r="C16" s="4">
        <v>0.19759898747966115</v>
      </c>
      <c r="D16" s="4">
        <v>0.22705146638629811</v>
      </c>
      <c r="E16" s="4">
        <v>0.1325664977247972</v>
      </c>
      <c r="F16" s="4">
        <v>0.21092320045342869</v>
      </c>
      <c r="G16" s="4">
        <v>0.18266852772031436</v>
      </c>
      <c r="H16" s="4">
        <v>0.2354032501479342</v>
      </c>
      <c r="I16" s="4">
        <v>3.1586507838754371E-2</v>
      </c>
      <c r="J16" s="4">
        <v>8.9871613306270789E-2</v>
      </c>
      <c r="K16" s="4">
        <v>0.16906771805993087</v>
      </c>
      <c r="L16" s="4">
        <v>7.4049693544054482E-2</v>
      </c>
      <c r="M16" s="4">
        <v>-6.4914144300701693E-2</v>
      </c>
      <c r="N16" s="4">
        <v>3.4014973735064916E-2</v>
      </c>
      <c r="O16" s="4">
        <f>IF(O11=0,0,O15/O11)</f>
        <v>0.13111167112604438</v>
      </c>
    </row>
    <row r="17" spans="1:15" x14ac:dyDescent="0.3">
      <c r="A17" s="25" t="s">
        <v>10</v>
      </c>
      <c r="B17" s="2">
        <v>1082.9722100000001</v>
      </c>
      <c r="C17" s="2">
        <v>1203.1763599999995</v>
      </c>
      <c r="D17" s="2">
        <v>1055.1160900000002</v>
      </c>
      <c r="E17" s="2">
        <v>1166.2018</v>
      </c>
      <c r="F17" s="2">
        <v>1127.3771700000002</v>
      </c>
      <c r="G17" s="2">
        <v>996.89212999999995</v>
      </c>
      <c r="H17" s="2">
        <v>1057.0408699999998</v>
      </c>
      <c r="I17" s="2">
        <v>1025.8411699999999</v>
      </c>
      <c r="J17" s="2">
        <v>987.59006000000022</v>
      </c>
      <c r="K17" s="2">
        <v>1020.07677</v>
      </c>
      <c r="L17" s="2">
        <v>981.6591500000003</v>
      </c>
      <c r="M17" s="2">
        <v>1083.9874600000007</v>
      </c>
      <c r="N17" s="2">
        <v>959.00490000000036</v>
      </c>
      <c r="O17" s="23">
        <f>+SUM(C17:N17)</f>
        <v>12663.963929999998</v>
      </c>
    </row>
    <row r="18" spans="1:15" s="5" customFormat="1" x14ac:dyDescent="0.3">
      <c r="A18" s="5" t="s">
        <v>11</v>
      </c>
      <c r="B18" s="6">
        <v>8.2785005114138638E-2</v>
      </c>
      <c r="C18" s="6">
        <v>0.10368865826242775</v>
      </c>
      <c r="D18" s="6">
        <v>0.14153432862119741</v>
      </c>
      <c r="E18" s="6">
        <v>0.18016893148721425</v>
      </c>
      <c r="F18" s="6">
        <v>0.18909030214897379</v>
      </c>
      <c r="G18" s="6">
        <v>0.15432767841438333</v>
      </c>
      <c r="H18" s="6">
        <v>0.1576714222745324</v>
      </c>
      <c r="I18" s="6">
        <v>0.18073563533980888</v>
      </c>
      <c r="J18" s="6">
        <v>0.14565711084605165</v>
      </c>
      <c r="K18" s="6">
        <v>0.18649870723615106</v>
      </c>
      <c r="L18" s="6">
        <v>0.13309790984591999</v>
      </c>
      <c r="M18" s="6">
        <v>0.13496276225992829</v>
      </c>
      <c r="N18" s="6">
        <v>0.25031577865827359</v>
      </c>
      <c r="O18" s="5">
        <f>IF(O11=0,0,O17/O11)</f>
        <v>0.1547757884257823</v>
      </c>
    </row>
    <row r="19" spans="1:15" s="5" customFormat="1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s="5" customFormat="1" ht="14.5" thickBot="1" x14ac:dyDescent="0.35">
      <c r="A20" s="26" t="s">
        <v>12</v>
      </c>
      <c r="B20" s="7">
        <v>2673.8742299999922</v>
      </c>
      <c r="C20" s="7">
        <v>1089.711159999988</v>
      </c>
      <c r="D20" s="7">
        <v>637.51677000000041</v>
      </c>
      <c r="E20" s="7">
        <v>-308.12218000000234</v>
      </c>
      <c r="F20" s="7">
        <v>130.17013999999972</v>
      </c>
      <c r="G20" s="7">
        <v>183.07001000000423</v>
      </c>
      <c r="H20" s="7">
        <v>521.11992000000191</v>
      </c>
      <c r="I20" s="7">
        <v>-846.55865000000017</v>
      </c>
      <c r="J20" s="7">
        <v>-378.23902000000066</v>
      </c>
      <c r="K20" s="7">
        <v>-95.340860000004227</v>
      </c>
      <c r="L20" s="7">
        <v>-435.50813000000187</v>
      </c>
      <c r="M20" s="7">
        <v>-1605.3617799999961</v>
      </c>
      <c r="N20" s="7">
        <v>-828.68740000000435</v>
      </c>
      <c r="O20" s="8">
        <f>O15-O17</f>
        <v>-1936.2300200000118</v>
      </c>
    </row>
    <row r="21" spans="1:15" s="5" customFormat="1" x14ac:dyDescent="0.3">
      <c r="A21" s="27" t="s">
        <v>13</v>
      </c>
      <c r="B21" s="5">
        <v>0.2043973887428864</v>
      </c>
      <c r="C21" s="5">
        <v>9.3910329217233399E-2</v>
      </c>
      <c r="D21" s="5">
        <v>8.5517137765100684E-2</v>
      </c>
      <c r="E21" s="5">
        <v>-4.7602433762417032E-2</v>
      </c>
      <c r="F21" s="5">
        <v>2.1832898304454899E-2</v>
      </c>
      <c r="G21" s="5">
        <v>2.8340849305931018E-2</v>
      </c>
      <c r="H21" s="5">
        <v>7.7731827873401785E-2</v>
      </c>
      <c r="I21" s="5">
        <v>-0.14914912750105452</v>
      </c>
      <c r="J21" s="5">
        <v>-5.5785497539780862E-2</v>
      </c>
      <c r="K21" s="5">
        <v>-1.7430989176220192E-2</v>
      </c>
      <c r="L21" s="5">
        <v>-5.9048216301865498E-2</v>
      </c>
      <c r="M21" s="5">
        <v>-0.19987690656062998</v>
      </c>
      <c r="N21" s="5">
        <v>-0.21630080492320866</v>
      </c>
      <c r="O21" s="5">
        <f>O20/O11</f>
        <v>-2.3664117299737927E-2</v>
      </c>
    </row>
    <row r="22" spans="1:15" s="5" customFormat="1" x14ac:dyDescent="0.3"/>
    <row r="23" spans="1:15" x14ac:dyDescent="0.3">
      <c r="A23" s="22" t="s">
        <v>14</v>
      </c>
      <c r="B23" s="1">
        <v>-21.185130000000001</v>
      </c>
      <c r="C23" s="1">
        <v>15.362329999999998</v>
      </c>
      <c r="D23" s="1">
        <v>3.0859800000000002</v>
      </c>
      <c r="E23" s="1">
        <v>2.5284800000000001</v>
      </c>
      <c r="F23" s="1">
        <v>3.0609999999999998E-2</v>
      </c>
      <c r="G23" s="1">
        <v>21.319680000000002</v>
      </c>
      <c r="H23" s="1">
        <v>5.1483600000000003</v>
      </c>
      <c r="I23" s="1">
        <v>51.952510000000004</v>
      </c>
      <c r="J23" s="1">
        <v>-38.074120000000001</v>
      </c>
      <c r="K23" s="1">
        <v>-69.843330000000009</v>
      </c>
      <c r="L23" s="1">
        <v>461.92323999999996</v>
      </c>
      <c r="M23" s="1">
        <v>23.894329999999997</v>
      </c>
      <c r="N23" s="1">
        <v>2.0265999999999997</v>
      </c>
      <c r="O23" s="23">
        <f>+SUM(C23:N23)</f>
        <v>479.35466999999989</v>
      </c>
    </row>
    <row r="24" spans="1:15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5" ht="14.5" thickBot="1" x14ac:dyDescent="0.35">
      <c r="A25" s="28" t="s">
        <v>15</v>
      </c>
      <c r="B25" s="8">
        <v>2695.059359999992</v>
      </c>
      <c r="C25" s="8">
        <v>1074.3488299999881</v>
      </c>
      <c r="D25" s="8">
        <v>634.43079000000046</v>
      </c>
      <c r="E25" s="8">
        <v>-310.65066000000235</v>
      </c>
      <c r="F25" s="8">
        <v>130.13952999999972</v>
      </c>
      <c r="G25" s="8">
        <v>161.75033000000423</v>
      </c>
      <c r="H25" s="8">
        <v>515.97156000000189</v>
      </c>
      <c r="I25" s="8">
        <v>-898.51116000000013</v>
      </c>
      <c r="J25" s="8">
        <v>-340.16490000000067</v>
      </c>
      <c r="K25" s="8">
        <v>-25.497530000004218</v>
      </c>
      <c r="L25" s="8">
        <v>-897.43137000000183</v>
      </c>
      <c r="M25" s="8">
        <v>-1629.2561099999962</v>
      </c>
      <c r="N25" s="8">
        <v>-830.71400000000438</v>
      </c>
      <c r="O25" s="8">
        <f>+O15-O17-O23</f>
        <v>-2415.5846900000115</v>
      </c>
    </row>
    <row r="26" spans="1:15" s="5" customFormat="1" x14ac:dyDescent="0.3">
      <c r="B26" s="5">
        <v>0.20601683112487854</v>
      </c>
      <c r="C26" s="5">
        <v>9.2586417413078076E-2</v>
      </c>
      <c r="D26" s="5">
        <v>8.5103181318432877E-2</v>
      </c>
      <c r="E26" s="5">
        <v>-4.799306387453553E-2</v>
      </c>
      <c r="F26" s="5">
        <v>2.1827764215968097E-2</v>
      </c>
      <c r="G26" s="5">
        <v>2.5040375142354705E-2</v>
      </c>
      <c r="H26" s="5">
        <v>7.6963882880337023E-2</v>
      </c>
      <c r="I26" s="5">
        <v>-0.15830226950484813</v>
      </c>
      <c r="J26" s="5">
        <v>-5.0170043778322522E-2</v>
      </c>
      <c r="K26" s="5">
        <v>-4.6616652026256469E-3</v>
      </c>
      <c r="L26" s="5">
        <v>-0.12167791598250845</v>
      </c>
      <c r="M26" s="5">
        <v>-0.20285189003428591</v>
      </c>
      <c r="N26" s="5">
        <v>-0.21682978027779637</v>
      </c>
      <c r="O26" s="5">
        <f>IF(O11=0,0,O25/O11)</f>
        <v>-2.9522669755740593E-2</v>
      </c>
    </row>
    <row r="27" spans="1:15" s="5" customFormat="1" x14ac:dyDescent="0.3"/>
    <row r="28" spans="1:15" x14ac:dyDescent="0.3">
      <c r="A28" s="14" t="s">
        <v>16</v>
      </c>
      <c r="B28" s="19">
        <v>200.35869</v>
      </c>
      <c r="C28" s="19">
        <v>206.44361999999998</v>
      </c>
      <c r="D28" s="19">
        <v>206.44553999999999</v>
      </c>
      <c r="E28" s="19">
        <v>189.18568000000002</v>
      </c>
      <c r="F28" s="19">
        <v>206.33674999999999</v>
      </c>
      <c r="G28" s="19">
        <v>199.82971000000001</v>
      </c>
      <c r="H28" s="19">
        <v>205.89073999999999</v>
      </c>
      <c r="I28" s="19">
        <v>197.52846999999997</v>
      </c>
      <c r="J28" s="19">
        <v>200.60807</v>
      </c>
      <c r="K28" s="19">
        <v>197.87461999999999</v>
      </c>
      <c r="L28" s="19">
        <v>189.94020999999998</v>
      </c>
      <c r="M28" s="19">
        <v>194.58876000000001</v>
      </c>
      <c r="N28" s="19">
        <v>188.34961999999999</v>
      </c>
      <c r="O28" s="20">
        <f t="shared" ref="O28:O40" si="0">+SUM(C28:N28)</f>
        <v>2383.0217899999998</v>
      </c>
    </row>
    <row r="29" spans="1:15" x14ac:dyDescent="0.3">
      <c r="A29" s="14" t="s">
        <v>17</v>
      </c>
      <c r="B29" s="19">
        <v>4.7084399999999995</v>
      </c>
      <c r="C29" s="19">
        <v>4.8653500000000003</v>
      </c>
      <c r="D29" s="19">
        <v>4.8654299999999999</v>
      </c>
      <c r="E29" s="19">
        <v>4.3944999999999999</v>
      </c>
      <c r="F29" s="19">
        <v>4.8630800000000001</v>
      </c>
      <c r="G29" s="19">
        <v>4.6649599999999998</v>
      </c>
      <c r="H29" s="19">
        <v>4.7833000000000006</v>
      </c>
      <c r="I29" s="19">
        <v>4.6289899999999999</v>
      </c>
      <c r="J29" s="19">
        <v>4.7635200000000006</v>
      </c>
      <c r="K29" s="19">
        <v>4.74735</v>
      </c>
      <c r="L29" s="19">
        <v>4.5941000000000001</v>
      </c>
      <c r="M29" s="19">
        <v>4.7473299999999998</v>
      </c>
      <c r="N29" s="19">
        <v>4.56067</v>
      </c>
      <c r="O29" s="20">
        <f t="shared" si="0"/>
        <v>56.478579999999994</v>
      </c>
    </row>
    <row r="30" spans="1:15" x14ac:dyDescent="0.3">
      <c r="A30" s="29" t="s">
        <v>18</v>
      </c>
      <c r="B30" s="19">
        <v>17.991430000000001</v>
      </c>
      <c r="C30" s="19">
        <v>13.755330000000001</v>
      </c>
      <c r="D30" s="19">
        <v>13.755330000000001</v>
      </c>
      <c r="E30" s="19">
        <v>58.872339999999994</v>
      </c>
      <c r="F30" s="19">
        <v>63.613949999999996</v>
      </c>
      <c r="G30" s="19">
        <v>10.12947</v>
      </c>
      <c r="H30" s="19">
        <v>88.412089999999992</v>
      </c>
      <c r="I30" s="19">
        <v>71.723410000000001</v>
      </c>
      <c r="J30" s="19">
        <v>7.9131899999999993</v>
      </c>
      <c r="K30" s="19">
        <v>7.9131899999999993</v>
      </c>
      <c r="L30" s="19">
        <v>7.9131899999999993</v>
      </c>
      <c r="M30" s="19">
        <v>7.9131899999999993</v>
      </c>
      <c r="N30" s="19">
        <v>5.8800600000000003</v>
      </c>
      <c r="O30" s="20">
        <f t="shared" ref="O30:O33" si="1">+SUM(C30:N30)</f>
        <v>357.79473999999993</v>
      </c>
    </row>
    <row r="31" spans="1:15" x14ac:dyDescent="0.3">
      <c r="A31" s="29" t="s">
        <v>19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20">
        <f t="shared" si="1"/>
        <v>0</v>
      </c>
    </row>
    <row r="32" spans="1:15" x14ac:dyDescent="0.3">
      <c r="A32" s="29" t="s">
        <v>20</v>
      </c>
      <c r="B32" s="19">
        <v>1.57291</v>
      </c>
      <c r="C32" s="19">
        <v>1.5824500000000001</v>
      </c>
      <c r="D32" s="19">
        <v>1.5920399999999999</v>
      </c>
      <c r="E32" s="19">
        <v>1.60232</v>
      </c>
      <c r="F32" s="19">
        <v>1.61205</v>
      </c>
      <c r="G32" s="19">
        <v>1.6218299999999999</v>
      </c>
      <c r="H32" s="19">
        <v>1.6105799999999999</v>
      </c>
      <c r="I32" s="19">
        <v>1.59473</v>
      </c>
      <c r="J32" s="19">
        <v>1.6046899999999999</v>
      </c>
      <c r="K32" s="19">
        <v>1.6147199999999999</v>
      </c>
      <c r="L32" s="19">
        <v>1.6147199999999999</v>
      </c>
      <c r="M32" s="19">
        <v>1.6147199999999999</v>
      </c>
      <c r="N32" s="19">
        <v>1.6451900000000002</v>
      </c>
      <c r="O32" s="20">
        <f t="shared" si="1"/>
        <v>19.310039999999997</v>
      </c>
    </row>
    <row r="33" spans="1:38" x14ac:dyDescent="0.3">
      <c r="A33" s="29" t="s">
        <v>21</v>
      </c>
      <c r="B33" s="19">
        <v>20.98066</v>
      </c>
      <c r="C33" s="19">
        <v>21.081040000000002</v>
      </c>
      <c r="D33" s="19">
        <v>21.181909999999998</v>
      </c>
      <c r="E33" s="19">
        <v>21.283300000000001</v>
      </c>
      <c r="F33" s="19">
        <v>21.385189999999998</v>
      </c>
      <c r="G33" s="19">
        <v>21.487590000000001</v>
      </c>
      <c r="H33" s="19">
        <v>21.590520000000001</v>
      </c>
      <c r="I33" s="19">
        <v>21.693960000000001</v>
      </c>
      <c r="J33" s="19">
        <v>21.797909999999998</v>
      </c>
      <c r="K33" s="19">
        <v>21.9024</v>
      </c>
      <c r="L33" s="19">
        <v>21.9024</v>
      </c>
      <c r="M33" s="19">
        <v>21.9024</v>
      </c>
      <c r="N33" s="19">
        <v>22.21903</v>
      </c>
      <c r="O33" s="20">
        <f t="shared" si="1"/>
        <v>259.42764999999997</v>
      </c>
    </row>
    <row r="34" spans="1:38" x14ac:dyDescent="0.3">
      <c r="A34" s="14" t="s">
        <v>22</v>
      </c>
      <c r="B34" s="21">
        <v>7.0640799999999997</v>
      </c>
      <c r="C34" s="21">
        <v>7.0808500000000008</v>
      </c>
      <c r="D34" s="21">
        <v>7.2878599999999993</v>
      </c>
      <c r="E34" s="21">
        <v>7.0949999999999998</v>
      </c>
      <c r="F34" s="21">
        <v>6.3322899999999995</v>
      </c>
      <c r="G34" s="21">
        <v>7.2372599999999991</v>
      </c>
      <c r="H34" s="21">
        <v>6.4794600000000004</v>
      </c>
      <c r="I34" s="21">
        <v>9.6451200000000004</v>
      </c>
      <c r="J34" s="21">
        <v>6.8752800000000001</v>
      </c>
      <c r="K34" s="21">
        <v>6.8752899999999997</v>
      </c>
      <c r="L34" s="21">
        <v>6.7942099999999988</v>
      </c>
      <c r="M34" s="21">
        <v>7.3601999999999999</v>
      </c>
      <c r="N34" s="21">
        <v>7.4007500000000004</v>
      </c>
      <c r="O34" s="20">
        <f t="shared" si="0"/>
        <v>86.463570000000004</v>
      </c>
    </row>
    <row r="35" spans="1:38" x14ac:dyDescent="0.3">
      <c r="A35" s="14" t="s">
        <v>23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20">
        <f t="shared" si="0"/>
        <v>0</v>
      </c>
    </row>
    <row r="36" spans="1:38" x14ac:dyDescent="0.3">
      <c r="A36" s="14" t="s">
        <v>24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20">
        <f t="shared" ref="O36" si="2">+SUM(C36:N36)</f>
        <v>0</v>
      </c>
    </row>
    <row r="37" spans="1:38" x14ac:dyDescent="0.3">
      <c r="A37" s="14" t="s">
        <v>25</v>
      </c>
      <c r="B37" s="19">
        <v>41.666669999999996</v>
      </c>
      <c r="C37" s="19">
        <v>41.666669999999996</v>
      </c>
      <c r="D37" s="19">
        <v>41.666669999999996</v>
      </c>
      <c r="E37" s="19">
        <v>41.666669999999996</v>
      </c>
      <c r="F37" s="19">
        <v>129.16667000000001</v>
      </c>
      <c r="G37" s="19">
        <v>41.666669999999996</v>
      </c>
      <c r="H37" s="19">
        <v>-45.83334</v>
      </c>
      <c r="I37" s="19">
        <v>41.66666</v>
      </c>
      <c r="J37" s="19">
        <v>41.66666</v>
      </c>
      <c r="K37" s="19">
        <v>41.66666</v>
      </c>
      <c r="L37" s="19">
        <v>41.66666</v>
      </c>
      <c r="M37" s="19">
        <v>41.66666</v>
      </c>
      <c r="N37" s="19">
        <v>41.66666</v>
      </c>
      <c r="O37" s="20">
        <f t="shared" si="0"/>
        <v>499.99996999999991</v>
      </c>
    </row>
    <row r="38" spans="1:38" x14ac:dyDescent="0.3">
      <c r="A38" s="14" t="s">
        <v>26</v>
      </c>
      <c r="B38" s="19">
        <v>122.19942000000002</v>
      </c>
      <c r="C38" s="19">
        <v>314.21026000000001</v>
      </c>
      <c r="D38" s="19">
        <v>283.71641999999997</v>
      </c>
      <c r="E38" s="19">
        <v>626.55925999999999</v>
      </c>
      <c r="F38" s="19">
        <v>228.54510999999999</v>
      </c>
      <c r="G38" s="19">
        <v>537.92101000000002</v>
      </c>
      <c r="H38" s="19">
        <v>170.41908999999998</v>
      </c>
      <c r="I38" s="19">
        <v>114.76325</v>
      </c>
      <c r="J38" s="19">
        <v>91.625430000000009</v>
      </c>
      <c r="K38" s="19">
        <v>47.090389999999999</v>
      </c>
      <c r="L38" s="19">
        <v>319.70536000000004</v>
      </c>
      <c r="M38" s="19">
        <v>92.525750000000002</v>
      </c>
      <c r="N38" s="19">
        <v>106.01847000000001</v>
      </c>
      <c r="O38" s="20">
        <f t="shared" si="0"/>
        <v>2933.0997999999995</v>
      </c>
    </row>
    <row r="39" spans="1:38" x14ac:dyDescent="0.3">
      <c r="A39" s="14" t="s">
        <v>27</v>
      </c>
      <c r="B39" s="19"/>
      <c r="C39" s="19"/>
      <c r="D39" s="19">
        <v>0</v>
      </c>
      <c r="E39" s="19">
        <v>0</v>
      </c>
      <c r="F39" s="19"/>
      <c r="G39" s="19"/>
      <c r="H39" s="19"/>
      <c r="I39" s="19"/>
      <c r="J39" s="19"/>
      <c r="K39" s="19"/>
      <c r="L39" s="19"/>
      <c r="M39" s="19"/>
      <c r="N39" s="19">
        <v>0</v>
      </c>
      <c r="O39" s="20">
        <f t="shared" si="0"/>
        <v>0</v>
      </c>
    </row>
    <row r="40" spans="1:38" x14ac:dyDescent="0.3">
      <c r="A40" s="14" t="s">
        <v>28</v>
      </c>
      <c r="B40" s="19">
        <v>542.21447000000001</v>
      </c>
      <c r="C40" s="19">
        <v>137.39678000000001</v>
      </c>
      <c r="D40" s="19">
        <v>46.692999999999998</v>
      </c>
      <c r="E40" s="19">
        <v>1.84304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20">
        <f t="shared" si="0"/>
        <v>185.93282000000002</v>
      </c>
    </row>
    <row r="41" spans="1:38" x14ac:dyDescent="0.3">
      <c r="A41" s="14" t="s">
        <v>29</v>
      </c>
      <c r="B41" s="19">
        <v>-25.674009999999999</v>
      </c>
      <c r="C41" s="19">
        <v>-21.37463</v>
      </c>
      <c r="D41" s="19">
        <v>-13.9405</v>
      </c>
      <c r="E41" s="19">
        <v>-19.237020000000001</v>
      </c>
      <c r="F41" s="19">
        <v>-30.704650000000001</v>
      </c>
      <c r="G41" s="19">
        <v>-10.180959999999999</v>
      </c>
      <c r="H41" s="19">
        <v>-8.7091799999999999</v>
      </c>
      <c r="I41" s="19">
        <v>0</v>
      </c>
      <c r="J41" s="19">
        <v>-13.83089</v>
      </c>
      <c r="K41" s="19">
        <v>-15.093350000000001</v>
      </c>
      <c r="L41" s="19">
        <v>-41.883890000000001</v>
      </c>
      <c r="M41" s="19">
        <v>3.35982</v>
      </c>
      <c r="N41" s="19">
        <v>0.51817999999999997</v>
      </c>
      <c r="O41" s="20">
        <f>+SUM(C41:N41)</f>
        <v>-171.07706999999999</v>
      </c>
    </row>
    <row r="42" spans="1:38" x14ac:dyDescent="0.3">
      <c r="A42" s="14" t="s">
        <v>30</v>
      </c>
      <c r="B42" s="19">
        <v>1038.0963300000001</v>
      </c>
      <c r="C42" s="19">
        <v>1029.7238</v>
      </c>
      <c r="D42" s="19">
        <v>1119.8305800000001</v>
      </c>
      <c r="E42" s="19">
        <v>763.46778000000018</v>
      </c>
      <c r="F42" s="19">
        <v>1185.60778</v>
      </c>
      <c r="G42" s="19">
        <v>993.94918999999982</v>
      </c>
      <c r="H42" s="19">
        <v>1052.0456700000002</v>
      </c>
      <c r="I42" s="19">
        <v>953.80475999999999</v>
      </c>
      <c r="J42" s="19">
        <v>984.85847000000001</v>
      </c>
      <c r="K42" s="19">
        <v>947.50526000000013</v>
      </c>
      <c r="L42" s="19">
        <v>916.12394000000018</v>
      </c>
      <c r="M42" s="19">
        <v>1527.17858</v>
      </c>
      <c r="N42" s="19">
        <v>808.17307000000005</v>
      </c>
      <c r="O42" s="20">
        <f>+SUM(C42:N42)</f>
        <v>12282.268880000001</v>
      </c>
    </row>
    <row r="43" spans="1:38" x14ac:dyDescent="0.3">
      <c r="A43" s="14" t="s">
        <v>31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20">
        <f>+SUM(C43:N43)</f>
        <v>0</v>
      </c>
    </row>
    <row r="44" spans="1:38" x14ac:dyDescent="0.3">
      <c r="A44" s="14" t="s">
        <v>32</v>
      </c>
      <c r="B44" s="19">
        <v>0</v>
      </c>
      <c r="C44" s="19">
        <v>42.615000000000002</v>
      </c>
      <c r="D44" s="19">
        <v>0</v>
      </c>
      <c r="E44" s="19">
        <v>0</v>
      </c>
      <c r="F44" s="19">
        <v>0</v>
      </c>
      <c r="G44" s="19">
        <v>0</v>
      </c>
      <c r="H44" s="19">
        <v>22.34901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20">
        <f>+SUM(C44:N44)</f>
        <v>64.964010000000002</v>
      </c>
    </row>
    <row r="45" spans="1:38" x14ac:dyDescent="0.3">
      <c r="A45" s="22" t="s">
        <v>33</v>
      </c>
      <c r="B45" s="1">
        <v>723.88026999999192</v>
      </c>
      <c r="C45" s="1">
        <v>-724.69769000001202</v>
      </c>
      <c r="D45" s="1">
        <v>-1098.6634899999995</v>
      </c>
      <c r="E45" s="1">
        <v>-2007.3835300000026</v>
      </c>
      <c r="F45" s="1">
        <v>-1686.6186900000005</v>
      </c>
      <c r="G45" s="1">
        <v>-1646.5763999999956</v>
      </c>
      <c r="H45" s="1">
        <v>-1003.0663799999983</v>
      </c>
      <c r="I45" s="1">
        <v>-2748.5323900000003</v>
      </c>
      <c r="J45" s="1">
        <v>-1688.0472300000006</v>
      </c>
      <c r="K45" s="1">
        <v>-1925.8855200000044</v>
      </c>
      <c r="L45" s="1">
        <v>-2566.0036600000021</v>
      </c>
      <c r="M45" s="1">
        <v>-3532.1135199999962</v>
      </c>
      <c r="N45" s="1">
        <v>-2017.1457000000046</v>
      </c>
      <c r="O45" s="23">
        <f>+SUM(C45:N45)</f>
        <v>-22644.734200000014</v>
      </c>
    </row>
    <row r="46" spans="1:38" x14ac:dyDescent="0.3">
      <c r="A46" s="24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1"/>
      <c r="N46" s="30"/>
    </row>
    <row r="47" spans="1:38" s="32" customForma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</row>
    <row r="48" spans="1:38" s="32" customForma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</row>
    <row r="49" spans="1:38" s="32" customForma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</row>
    <row r="50" spans="1:38" s="32" customForma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</row>
    <row r="51" spans="1:38" s="32" customForma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</row>
    <row r="52" spans="1:38" s="32" customForma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8" s="32" customForma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</row>
    <row r="54" spans="1:38" s="32" customForma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</row>
    <row r="55" spans="1:38" s="32" customForma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</row>
    <row r="56" spans="1:38" s="32" customForma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</row>
    <row r="57" spans="1:38" s="32" customForma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</row>
    <row r="58" spans="1:38" s="32" customForma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</row>
    <row r="59" spans="1:38" s="32" customForma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</row>
    <row r="60" spans="1:38" s="32" customForma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</row>
    <row r="61" spans="1:38" s="32" customForma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</row>
    <row r="62" spans="1:38" s="32" customForma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38" s="32" customForma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</row>
    <row r="64" spans="1:38" s="32" customForma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</row>
    <row r="65" spans="1:38" s="32" customForma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</row>
    <row r="66" spans="1:38" s="32" customForma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</row>
    <row r="67" spans="1:38" s="32" customForma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</row>
    <row r="68" spans="1:38" s="32" customForma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</row>
    <row r="69" spans="1:38" s="32" customForma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</row>
    <row r="70" spans="1:38" s="32" customForma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</row>
    <row r="71" spans="1:38" s="32" customForma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</row>
    <row r="72" spans="1:38" s="32" customForma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</row>
    <row r="73" spans="1:38" s="32" customForma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</row>
    <row r="74" spans="1:38" s="32" customForma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</row>
    <row r="75" spans="1:38" s="32" customForma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</row>
    <row r="76" spans="1:38" s="32" customForma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</row>
    <row r="77" spans="1:38" s="32" customForma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</row>
    <row r="86" spans="2:15" x14ac:dyDescent="0.3">
      <c r="B86" s="33"/>
      <c r="C86" s="33">
        <f>C10/C9</f>
        <v>-0.11843488849148845</v>
      </c>
      <c r="D86" s="33">
        <f t="shared" ref="D86:L86" si="3">D10/D9</f>
        <v>-2.3831122630459011E-2</v>
      </c>
      <c r="E86" s="33">
        <f t="shared" si="3"/>
        <v>-0.12319688524411357</v>
      </c>
      <c r="F86" s="33">
        <f t="shared" si="3"/>
        <v>-0.11245661748368169</v>
      </c>
      <c r="G86" s="33">
        <f t="shared" si="3"/>
        <v>-0.14424244229486929</v>
      </c>
      <c r="H86" s="33">
        <f t="shared" si="3"/>
        <v>-0.10140809715318409</v>
      </c>
      <c r="I86" s="33">
        <f t="shared" si="3"/>
        <v>-0.12323548237721937</v>
      </c>
      <c r="J86" s="33">
        <f t="shared" si="3"/>
        <v>-0.11958497365280248</v>
      </c>
      <c r="K86" s="33">
        <f t="shared" si="3"/>
        <v>-9.8207519384664418E-2</v>
      </c>
      <c r="L86" s="33">
        <f t="shared" si="3"/>
        <v>-0.13017563092006088</v>
      </c>
    </row>
    <row r="89" spans="2:15" x14ac:dyDescent="0.3"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</row>
  </sheetData>
  <conditionalFormatting sqref="A7:XFD7 B89:N91">
    <cfRule type="containsErrors" dxfId="12" priority="3">
      <formula>ISERROR(A7)</formula>
    </cfRule>
  </conditionalFormatting>
  <pageMargins left="0" right="0" top="0.25" bottom="0.25" header="0.3" footer="0.3"/>
  <pageSetup scale="62" orientation="landscape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60EF-95F6-4ACB-8072-CB9C2733B672}">
  <sheetPr codeName="Sheet13">
    <tabColor rgb="FF00B050"/>
    <pageSetUpPr fitToPage="1"/>
  </sheetPr>
  <dimension ref="A1:R85"/>
  <sheetViews>
    <sheetView workbookViewId="0">
      <pane xSplit="2" ySplit="4" topLeftCell="O67" activePane="bottomRight" state="frozen"/>
      <selection pane="topRight" activeCell="C1" sqref="C1"/>
      <selection pane="bottomLeft" activeCell="A5" sqref="A5"/>
      <selection pane="bottomRight" activeCell="S1" sqref="S1:W1048576"/>
    </sheetView>
  </sheetViews>
  <sheetFormatPr defaultColWidth="9" defaultRowHeight="14" outlineLevelRow="2" outlineLevelCol="1" x14ac:dyDescent="0.3"/>
  <cols>
    <col min="1" max="1" width="49.54296875" style="14" customWidth="1"/>
    <col min="2" max="2" width="27.54296875" style="14" hidden="1" customWidth="1" outlineLevel="1"/>
    <col min="3" max="3" width="13.453125" style="14" customWidth="1" collapsed="1"/>
    <col min="4" max="5" width="12.54296875" style="14" customWidth="1" outlineLevel="1"/>
    <col min="6" max="7" width="13.453125" style="14" customWidth="1" outlineLevel="1"/>
    <col min="8" max="16" width="12.54296875" style="14" customWidth="1" outlineLevel="1"/>
    <col min="17" max="17" width="13.1796875" style="14" customWidth="1" outlineLevel="1"/>
    <col min="18" max="18" width="12" style="14" customWidth="1" outlineLevel="1"/>
    <col min="19" max="16384" width="9" style="14"/>
  </cols>
  <sheetData>
    <row r="1" spans="1:18" x14ac:dyDescent="0.3">
      <c r="A1" s="12" t="s">
        <v>34</v>
      </c>
      <c r="B1" s="12"/>
    </row>
    <row r="2" spans="1:18" x14ac:dyDescent="0.3">
      <c r="A2" s="15">
        <v>45930</v>
      </c>
      <c r="B2" s="15"/>
      <c r="D2" s="19"/>
      <c r="E2" s="19"/>
      <c r="H2" s="19"/>
      <c r="I2" s="19"/>
      <c r="J2" s="19"/>
      <c r="K2" s="19"/>
      <c r="L2" s="19"/>
    </row>
    <row r="3" spans="1:18" x14ac:dyDescent="0.3">
      <c r="A3" s="15"/>
      <c r="B3" s="15"/>
    </row>
    <row r="4" spans="1:18" ht="19.5" customHeight="1" x14ac:dyDescent="0.3">
      <c r="A4" s="64" t="s">
        <v>35</v>
      </c>
      <c r="B4" s="64"/>
      <c r="C4" s="65">
        <v>45626</v>
      </c>
      <c r="D4" s="65">
        <v>45657</v>
      </c>
      <c r="E4" s="65">
        <v>45688</v>
      </c>
      <c r="F4" s="65">
        <v>45716</v>
      </c>
      <c r="G4" s="65">
        <v>45747</v>
      </c>
      <c r="H4" s="65">
        <v>45777</v>
      </c>
      <c r="I4" s="65">
        <v>45808</v>
      </c>
      <c r="J4" s="65">
        <v>45838</v>
      </c>
      <c r="K4" s="65">
        <v>45869</v>
      </c>
      <c r="L4" s="65">
        <v>45900</v>
      </c>
      <c r="M4" s="65">
        <v>45930</v>
      </c>
      <c r="N4" s="65">
        <v>45961</v>
      </c>
      <c r="O4" s="65">
        <v>45991</v>
      </c>
      <c r="P4" s="65">
        <v>46022</v>
      </c>
      <c r="Q4" s="65">
        <v>46053</v>
      </c>
      <c r="R4" s="65">
        <v>46081</v>
      </c>
    </row>
    <row r="5" spans="1:18" ht="14.5" customHeight="1" x14ac:dyDescent="0.3">
      <c r="A5" s="17"/>
      <c r="B5" s="17" t="s">
        <v>36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outlineLevel="1" x14ac:dyDescent="0.3">
      <c r="A6" s="50" t="s">
        <v>37</v>
      </c>
      <c r="B6" s="50"/>
      <c r="C6" s="51">
        <v>30</v>
      </c>
      <c r="D6" s="51">
        <v>31</v>
      </c>
      <c r="E6" s="51">
        <v>31</v>
      </c>
      <c r="F6" s="51">
        <v>28</v>
      </c>
      <c r="G6" s="51">
        <v>31</v>
      </c>
      <c r="H6" s="51">
        <v>30</v>
      </c>
      <c r="I6" s="51">
        <v>31</v>
      </c>
      <c r="J6" s="51">
        <v>30</v>
      </c>
      <c r="K6" s="51">
        <v>31</v>
      </c>
      <c r="L6" s="51">
        <v>31</v>
      </c>
      <c r="M6" s="51">
        <v>30</v>
      </c>
      <c r="N6" s="51">
        <v>31</v>
      </c>
      <c r="O6" s="51">
        <v>30</v>
      </c>
      <c r="P6" s="51">
        <v>31</v>
      </c>
      <c r="Q6" s="51">
        <v>31</v>
      </c>
      <c r="R6" s="51">
        <v>28</v>
      </c>
    </row>
    <row r="7" spans="1:18" ht="3.75" customHeight="1" outlineLevel="1" x14ac:dyDescent="0.3">
      <c r="A7" s="52"/>
      <c r="B7" s="52"/>
    </row>
    <row r="8" spans="1:18" outlineLevel="1" x14ac:dyDescent="0.3">
      <c r="A8" s="53" t="s">
        <v>38</v>
      </c>
      <c r="B8" s="53"/>
    </row>
    <row r="9" spans="1:18" outlineLevel="1" x14ac:dyDescent="0.3">
      <c r="A9" s="36" t="s">
        <v>39</v>
      </c>
      <c r="B9" s="36" t="s">
        <v>39</v>
      </c>
      <c r="C9" s="21">
        <v>2401.4932599999997</v>
      </c>
      <c r="D9" s="21">
        <v>3234.7482299999997</v>
      </c>
      <c r="E9" s="21">
        <v>3177.8847799999999</v>
      </c>
      <c r="F9" s="21">
        <v>1398.1565599999999</v>
      </c>
      <c r="G9" s="21">
        <v>2195.8182600000005</v>
      </c>
      <c r="H9" s="21">
        <v>2114.41165</v>
      </c>
      <c r="I9" s="21">
        <v>2823.1878700000007</v>
      </c>
      <c r="J9" s="21">
        <v>3009.1293400000004</v>
      </c>
      <c r="K9" s="21">
        <v>678.77466000000004</v>
      </c>
      <c r="L9" s="21">
        <v>4400.9730100000006</v>
      </c>
      <c r="M9" s="21">
        <v>1044.36643</v>
      </c>
      <c r="N9" s="21">
        <v>2135.3034400000006</v>
      </c>
      <c r="O9" s="21">
        <v>2186.1176500000006</v>
      </c>
      <c r="P9" s="21">
        <v>0</v>
      </c>
      <c r="Q9" s="21">
        <v>0</v>
      </c>
      <c r="R9" s="21">
        <v>0</v>
      </c>
    </row>
    <row r="10" spans="1:18" outlineLevel="1" x14ac:dyDescent="0.3">
      <c r="A10" s="36" t="s">
        <v>40</v>
      </c>
      <c r="B10" s="36" t="s">
        <v>41</v>
      </c>
      <c r="C10" s="21">
        <v>22141.930690000001</v>
      </c>
      <c r="D10" s="21">
        <v>22574.069039999998</v>
      </c>
      <c r="E10" s="21">
        <v>14710.08597</v>
      </c>
      <c r="F10" s="21">
        <v>12801.70685</v>
      </c>
      <c r="G10" s="21">
        <v>10304.20881</v>
      </c>
      <c r="H10" s="21">
        <v>12140.762789999999</v>
      </c>
      <c r="I10" s="21">
        <v>10128.820250000001</v>
      </c>
      <c r="J10" s="21">
        <v>9364.6504199999999</v>
      </c>
      <c r="K10" s="21">
        <v>9293.8223000000016</v>
      </c>
      <c r="L10" s="21">
        <v>8327.3487699999987</v>
      </c>
      <c r="M10" s="21">
        <v>10911.146640000001</v>
      </c>
      <c r="N10" s="21">
        <v>10418.202029999999</v>
      </c>
      <c r="O10" s="21">
        <v>7802.3178899999994</v>
      </c>
      <c r="P10" s="21">
        <v>0</v>
      </c>
      <c r="Q10" s="21">
        <v>0</v>
      </c>
      <c r="R10" s="21">
        <v>0</v>
      </c>
    </row>
    <row r="11" spans="1:18" outlineLevel="1" x14ac:dyDescent="0.3">
      <c r="A11" s="36" t="s">
        <v>42</v>
      </c>
      <c r="B11" s="36" t="s">
        <v>41</v>
      </c>
      <c r="C11" s="21">
        <v>-6038.0227599999998</v>
      </c>
      <c r="D11" s="21">
        <v>-6014.4336099999991</v>
      </c>
      <c r="E11" s="21">
        <v>-5187.4625600000008</v>
      </c>
      <c r="F11" s="21">
        <v>-4311.1641799999998</v>
      </c>
      <c r="G11" s="21">
        <v>-4179.0116499999995</v>
      </c>
      <c r="H11" s="21">
        <v>-4924.3567700000012</v>
      </c>
      <c r="I11" s="21">
        <v>-3801.9113399999997</v>
      </c>
      <c r="J11" s="21">
        <v>-4003.51784</v>
      </c>
      <c r="K11" s="21">
        <v>-3929.1099800000006</v>
      </c>
      <c r="L11" s="21">
        <v>-3481.6180099999997</v>
      </c>
      <c r="M11" s="21">
        <v>-3985.9564700000001</v>
      </c>
      <c r="N11" s="21">
        <v>-4143.7416300000004</v>
      </c>
      <c r="O11" s="21">
        <v>-4116.5178900000001</v>
      </c>
      <c r="P11" s="21">
        <v>0</v>
      </c>
      <c r="Q11" s="21">
        <v>0</v>
      </c>
      <c r="R11" s="21">
        <v>0</v>
      </c>
    </row>
    <row r="12" spans="1:18" outlineLevel="1" x14ac:dyDescent="0.3">
      <c r="A12" s="36" t="s">
        <v>43</v>
      </c>
      <c r="B12" s="36" t="s">
        <v>41</v>
      </c>
      <c r="C12" s="21">
        <v>1820.0417</v>
      </c>
      <c r="D12" s="21">
        <v>1861.5149199999998</v>
      </c>
      <c r="E12" s="21">
        <v>2639.80917</v>
      </c>
      <c r="F12" s="21">
        <v>2058.6350400000001</v>
      </c>
      <c r="G12" s="21">
        <v>1703.8030700000002</v>
      </c>
      <c r="H12" s="21">
        <v>1597.62619</v>
      </c>
      <c r="I12" s="21">
        <v>1616.5664400000003</v>
      </c>
      <c r="J12" s="21">
        <v>1306.4491600000001</v>
      </c>
      <c r="K12" s="21">
        <v>1306.6325400000003</v>
      </c>
      <c r="L12" s="21">
        <v>1290.2539400000003</v>
      </c>
      <c r="M12" s="21">
        <v>1331.9812800000002</v>
      </c>
      <c r="N12" s="21">
        <v>1336.8479700000003</v>
      </c>
      <c r="O12" s="21">
        <v>1331.0241100000001</v>
      </c>
      <c r="P12" s="21">
        <v>0</v>
      </c>
      <c r="Q12" s="21">
        <v>0</v>
      </c>
      <c r="R12" s="21">
        <v>0</v>
      </c>
    </row>
    <row r="13" spans="1:18" outlineLevel="1" x14ac:dyDescent="0.3">
      <c r="A13" s="36" t="s">
        <v>44</v>
      </c>
      <c r="B13" s="36" t="s">
        <v>44</v>
      </c>
      <c r="C13" s="21">
        <v>48218.996979999982</v>
      </c>
      <c r="D13" s="21">
        <v>43305.938470000008</v>
      </c>
      <c r="E13" s="21">
        <v>44745.401110000006</v>
      </c>
      <c r="F13" s="21">
        <v>47218.733079999991</v>
      </c>
      <c r="G13" s="21">
        <v>48768.919259999995</v>
      </c>
      <c r="H13" s="21">
        <v>48383.409249999975</v>
      </c>
      <c r="I13" s="21">
        <v>47091.630999999994</v>
      </c>
      <c r="J13" s="21">
        <v>43670.818699999989</v>
      </c>
      <c r="K13" s="21">
        <v>40915.983439999989</v>
      </c>
      <c r="L13" s="21">
        <v>38746.972969999988</v>
      </c>
      <c r="M13" s="21">
        <v>38678.808830000002</v>
      </c>
      <c r="N13" s="21">
        <v>37480.865730000005</v>
      </c>
      <c r="O13" s="21">
        <v>40270.399029999993</v>
      </c>
      <c r="P13" s="21">
        <v>0</v>
      </c>
      <c r="Q13" s="21">
        <v>0</v>
      </c>
      <c r="R13" s="21">
        <v>0</v>
      </c>
    </row>
    <row r="14" spans="1:18" outlineLevel="1" x14ac:dyDescent="0.3">
      <c r="A14" s="36" t="s">
        <v>45</v>
      </c>
      <c r="B14" s="36" t="s">
        <v>44</v>
      </c>
      <c r="C14" s="21">
        <v>-4127.0356199999997</v>
      </c>
      <c r="D14" s="21">
        <v>-3217.8632299999999</v>
      </c>
      <c r="E14" s="21">
        <v>-2952.2766499999998</v>
      </c>
      <c r="F14" s="21">
        <v>-5402.6511700000001</v>
      </c>
      <c r="G14" s="21">
        <v>-5397.4837900000002</v>
      </c>
      <c r="H14" s="21">
        <v>-5431.9098099999992</v>
      </c>
      <c r="I14" s="21">
        <v>-5459.3471799999998</v>
      </c>
      <c r="J14" s="21">
        <v>-5492.4386299999996</v>
      </c>
      <c r="K14" s="21">
        <v>-5460.4797900000003</v>
      </c>
      <c r="L14" s="21">
        <v>-5525.9136399999998</v>
      </c>
      <c r="M14" s="21">
        <v>-5569.97235</v>
      </c>
      <c r="N14" s="21">
        <v>-5594.1082200000001</v>
      </c>
      <c r="O14" s="21">
        <v>-5605.6458100000009</v>
      </c>
      <c r="P14" s="21">
        <v>0</v>
      </c>
      <c r="Q14" s="21">
        <v>0</v>
      </c>
      <c r="R14" s="21">
        <v>0</v>
      </c>
    </row>
    <row r="15" spans="1:18" outlineLevel="1" x14ac:dyDescent="0.3">
      <c r="A15" s="36" t="s">
        <v>46</v>
      </c>
      <c r="B15" s="36" t="s">
        <v>47</v>
      </c>
      <c r="C15" s="21">
        <v>878.99409000000003</v>
      </c>
      <c r="D15" s="21">
        <v>877.55050000000006</v>
      </c>
      <c r="E15" s="21">
        <v>931.7679700000001</v>
      </c>
      <c r="F15" s="21">
        <v>904.3888199999999</v>
      </c>
      <c r="G15" s="21">
        <v>884.82938999999988</v>
      </c>
      <c r="H15" s="21">
        <v>1147.74955</v>
      </c>
      <c r="I15" s="21">
        <v>1068.8718399999998</v>
      </c>
      <c r="J15" s="21">
        <v>881.91012999999998</v>
      </c>
      <c r="K15" s="21">
        <v>830.52013999999997</v>
      </c>
      <c r="L15" s="21">
        <v>757.81415000000015</v>
      </c>
      <c r="M15" s="21">
        <v>762.57544000000007</v>
      </c>
      <c r="N15" s="21">
        <v>834.84431000000006</v>
      </c>
      <c r="O15" s="21">
        <v>711.90548000000001</v>
      </c>
      <c r="P15" s="21">
        <v>0</v>
      </c>
      <c r="Q15" s="21">
        <v>0</v>
      </c>
      <c r="R15" s="21">
        <v>0</v>
      </c>
    </row>
    <row r="16" spans="1:18" outlineLevel="1" x14ac:dyDescent="0.3">
      <c r="A16" s="36" t="s">
        <v>48</v>
      </c>
      <c r="B16" s="36" t="s">
        <v>49</v>
      </c>
      <c r="C16" s="21">
        <v>-875.70100000000002</v>
      </c>
      <c r="D16" s="21">
        <v>-875.70100000000002</v>
      </c>
      <c r="E16" s="21">
        <v>-875.70100000000002</v>
      </c>
      <c r="F16" s="21">
        <v>-875.70100000000002</v>
      </c>
      <c r="G16" s="21">
        <v>-875.70100000000002</v>
      </c>
      <c r="H16" s="21">
        <v>-875.70100000000002</v>
      </c>
      <c r="I16" s="21">
        <v>-875.70100000000002</v>
      </c>
      <c r="J16" s="21">
        <v>-875.70100000000002</v>
      </c>
      <c r="K16" s="21">
        <v>-875.70100000000002</v>
      </c>
      <c r="L16" s="21">
        <v>-875.70100000000002</v>
      </c>
      <c r="M16" s="21">
        <v>-875.70100000000002</v>
      </c>
      <c r="N16" s="21">
        <v>-875.70100000000002</v>
      </c>
      <c r="O16" s="21">
        <v>-875.70100000000002</v>
      </c>
      <c r="P16" s="21">
        <v>0</v>
      </c>
      <c r="Q16" s="21">
        <v>0</v>
      </c>
      <c r="R16" s="21">
        <v>0</v>
      </c>
    </row>
    <row r="17" spans="1:18" outlineLevel="1" x14ac:dyDescent="0.3">
      <c r="A17" s="36" t="s">
        <v>50</v>
      </c>
      <c r="B17" s="36" t="s">
        <v>49</v>
      </c>
      <c r="C17" s="21">
        <v>3960.5562200000004</v>
      </c>
      <c r="D17" s="21">
        <v>3960.5562200000004</v>
      </c>
      <c r="E17" s="21">
        <v>3960.5562200000004</v>
      </c>
      <c r="F17" s="21">
        <v>3960.5562200000004</v>
      </c>
      <c r="G17" s="21">
        <v>3960.5562200000004</v>
      </c>
      <c r="H17" s="21">
        <v>3960.5562200000004</v>
      </c>
      <c r="I17" s="21">
        <v>3960.5562200000004</v>
      </c>
      <c r="J17" s="21">
        <v>3960.5562200000004</v>
      </c>
      <c r="K17" s="21">
        <v>3960.5562200000004</v>
      </c>
      <c r="L17" s="21">
        <v>3960.5562200000004</v>
      </c>
      <c r="M17" s="21">
        <v>3960.5562200000004</v>
      </c>
      <c r="N17" s="21">
        <v>3960.5562200000004</v>
      </c>
      <c r="O17" s="21">
        <v>3960.5562200000004</v>
      </c>
      <c r="P17" s="21">
        <v>0</v>
      </c>
      <c r="Q17" s="21">
        <v>0</v>
      </c>
      <c r="R17" s="21">
        <v>0</v>
      </c>
    </row>
    <row r="18" spans="1:18" outlineLevel="1" x14ac:dyDescent="0.3">
      <c r="A18" s="36" t="s">
        <v>51</v>
      </c>
      <c r="B18" s="36" t="s">
        <v>47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</row>
    <row r="19" spans="1:18" outlineLevel="1" x14ac:dyDescent="0.3">
      <c r="A19" s="54" t="s">
        <v>52</v>
      </c>
      <c r="B19" s="54"/>
      <c r="C19" s="55">
        <v>68381.253559999983</v>
      </c>
      <c r="D19" s="55">
        <v>65706.379540000009</v>
      </c>
      <c r="E19" s="55">
        <v>61150.065010000006</v>
      </c>
      <c r="F19" s="55">
        <v>57752.660219999991</v>
      </c>
      <c r="G19" s="55">
        <f t="shared" ref="G19" si="0">SUM(G9:G18)</f>
        <v>57365.938569999991</v>
      </c>
      <c r="H19" s="55">
        <f t="shared" ref="H19:R19" si="1">SUM(H9:H18)</f>
        <v>58112.548069999968</v>
      </c>
      <c r="I19" s="55">
        <f t="shared" si="1"/>
        <v>56552.674099999997</v>
      </c>
      <c r="J19" s="55">
        <f t="shared" si="1"/>
        <v>51821.856499999987</v>
      </c>
      <c r="K19" s="55">
        <f t="shared" si="1"/>
        <v>46720.99852999999</v>
      </c>
      <c r="L19" s="55">
        <f t="shared" si="1"/>
        <v>47600.686409999988</v>
      </c>
      <c r="M19" s="55">
        <f t="shared" si="1"/>
        <v>46257.80502</v>
      </c>
      <c r="N19" s="55">
        <v>45553.068850000003</v>
      </c>
      <c r="O19" s="55">
        <v>45664.455679999992</v>
      </c>
      <c r="P19" s="55">
        <f t="shared" si="1"/>
        <v>0</v>
      </c>
      <c r="Q19" s="55">
        <f t="shared" si="1"/>
        <v>0</v>
      </c>
      <c r="R19" s="55">
        <f t="shared" si="1"/>
        <v>0</v>
      </c>
    </row>
    <row r="20" spans="1:18" ht="4.5" customHeight="1" outlineLevel="1" x14ac:dyDescent="0.3"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outlineLevel="1" x14ac:dyDescent="0.3">
      <c r="A21" s="53" t="s">
        <v>53</v>
      </c>
      <c r="B21" s="53"/>
      <c r="C21" s="32"/>
      <c r="D21" s="21"/>
      <c r="E21" s="21"/>
      <c r="F21" s="32"/>
      <c r="G21" s="32"/>
      <c r="H21" s="21"/>
      <c r="I21" s="21"/>
      <c r="J21" s="21"/>
      <c r="K21" s="21"/>
      <c r="L21" s="21"/>
      <c r="M21" s="32"/>
      <c r="N21" s="32"/>
      <c r="O21" s="32"/>
      <c r="P21" s="32"/>
      <c r="Q21" s="32"/>
      <c r="R21" s="32"/>
    </row>
    <row r="22" spans="1:18" outlineLevel="1" x14ac:dyDescent="0.3">
      <c r="A22" s="36" t="s">
        <v>54</v>
      </c>
      <c r="B22" s="36" t="s">
        <v>55</v>
      </c>
      <c r="C22" s="21">
        <v>16095.249859999989</v>
      </c>
      <c r="D22" s="21">
        <v>15897.666560000005</v>
      </c>
      <c r="E22" s="21">
        <v>15711.3197</v>
      </c>
      <c r="F22" s="21">
        <v>15543.139810000004</v>
      </c>
      <c r="G22" s="21">
        <v>15334.567340000003</v>
      </c>
      <c r="H22" s="21">
        <v>15144.265140000001</v>
      </c>
      <c r="I22" s="21">
        <v>14934.155360000004</v>
      </c>
      <c r="J22" s="21">
        <v>14731.997900000006</v>
      </c>
      <c r="K22" s="21">
        <v>14527.285470000001</v>
      </c>
      <c r="L22" s="21">
        <v>14324.813500000004</v>
      </c>
      <c r="M22" s="21">
        <v>14130.279190000005</v>
      </c>
      <c r="N22" s="21">
        <v>13930.943100000004</v>
      </c>
      <c r="O22" s="21">
        <v>13738.032809999999</v>
      </c>
      <c r="P22" s="21">
        <v>0</v>
      </c>
      <c r="Q22" s="21">
        <v>0</v>
      </c>
      <c r="R22" s="21">
        <v>0</v>
      </c>
    </row>
    <row r="23" spans="1:18" ht="16.399999999999999" customHeight="1" outlineLevel="1" x14ac:dyDescent="0.3">
      <c r="A23" s="36" t="s">
        <v>56</v>
      </c>
      <c r="B23" s="36" t="s">
        <v>55</v>
      </c>
      <c r="C23" s="21">
        <v>773.44304999999997</v>
      </c>
      <c r="D23" s="21">
        <v>759.68772000000001</v>
      </c>
      <c r="E23" s="21">
        <v>745.93238999999994</v>
      </c>
      <c r="F23" s="21">
        <v>687.06005000000005</v>
      </c>
      <c r="G23" s="21">
        <v>623.4461</v>
      </c>
      <c r="H23" s="21">
        <v>613.31663000000003</v>
      </c>
      <c r="I23" s="21">
        <v>524.90454</v>
      </c>
      <c r="J23" s="21">
        <v>453.18113</v>
      </c>
      <c r="K23" s="21">
        <v>445.26793999999995</v>
      </c>
      <c r="L23" s="21">
        <v>437.35475000000002</v>
      </c>
      <c r="M23" s="21">
        <v>429.44155999999998</v>
      </c>
      <c r="N23" s="21">
        <v>421.52837</v>
      </c>
      <c r="O23" s="21">
        <v>415.64830999999998</v>
      </c>
      <c r="P23" s="21">
        <v>0</v>
      </c>
      <c r="Q23" s="21">
        <v>0</v>
      </c>
      <c r="R23" s="21">
        <v>0</v>
      </c>
    </row>
    <row r="24" spans="1:18" ht="16.399999999999999" customHeight="1" outlineLevel="1" x14ac:dyDescent="0.3">
      <c r="A24" s="36" t="s">
        <v>57</v>
      </c>
      <c r="B24" s="36" t="s">
        <v>55</v>
      </c>
      <c r="C24" s="21">
        <v>382.22553000000005</v>
      </c>
      <c r="D24" s="21">
        <v>359.56203999999997</v>
      </c>
      <c r="E24" s="21">
        <v>336.78809000000001</v>
      </c>
      <c r="F24" s="21">
        <v>313.90246999999999</v>
      </c>
      <c r="G24" s="21">
        <v>290.90522999999996</v>
      </c>
      <c r="H24" s="21">
        <v>267.79581000000002</v>
      </c>
      <c r="I24" s="21">
        <v>244.59470999999999</v>
      </c>
      <c r="J24" s="21">
        <v>221.30601999999999</v>
      </c>
      <c r="K24" s="21">
        <v>197.90342000000001</v>
      </c>
      <c r="L24" s="21">
        <v>174.38629999999998</v>
      </c>
      <c r="M24" s="21">
        <v>150.86918</v>
      </c>
      <c r="N24" s="21">
        <v>127.35205999999999</v>
      </c>
      <c r="O24" s="21">
        <v>103.48783999999999</v>
      </c>
      <c r="P24" s="21">
        <v>0</v>
      </c>
      <c r="Q24" s="21">
        <v>0</v>
      </c>
      <c r="R24" s="21">
        <v>0</v>
      </c>
    </row>
    <row r="25" spans="1:18" outlineLevel="1" x14ac:dyDescent="0.3">
      <c r="A25" s="36" t="s">
        <v>58</v>
      </c>
      <c r="B25" s="36" t="s">
        <v>59</v>
      </c>
      <c r="C25" s="21">
        <v>934.83884999999998</v>
      </c>
      <c r="D25" s="21">
        <v>932.40638000000001</v>
      </c>
      <c r="E25" s="21">
        <v>929.81174999999996</v>
      </c>
      <c r="F25" s="21">
        <v>927.54144999999994</v>
      </c>
      <c r="G25" s="21">
        <v>925.02790000000005</v>
      </c>
      <c r="H25" s="21">
        <v>922.59543999999994</v>
      </c>
      <c r="I25" s="21">
        <v>920.08189000000004</v>
      </c>
      <c r="J25" s="21">
        <v>917.64942000000008</v>
      </c>
      <c r="K25" s="21">
        <v>915.13588000000004</v>
      </c>
      <c r="L25" s="21">
        <v>912.62232999999992</v>
      </c>
      <c r="M25" s="21">
        <v>910.18985999999995</v>
      </c>
      <c r="N25" s="21">
        <v>907.67632000000003</v>
      </c>
      <c r="O25" s="21">
        <v>905.24384999999995</v>
      </c>
      <c r="P25" s="21">
        <v>0</v>
      </c>
      <c r="Q25" s="21">
        <v>0</v>
      </c>
      <c r="R25" s="21">
        <v>0</v>
      </c>
    </row>
    <row r="26" spans="1:18" outlineLevel="1" x14ac:dyDescent="0.3">
      <c r="A26" s="36" t="s">
        <v>60</v>
      </c>
      <c r="B26" s="36" t="s">
        <v>59</v>
      </c>
      <c r="C26" s="21">
        <v>0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</row>
    <row r="27" spans="1:18" outlineLevel="1" x14ac:dyDescent="0.3">
      <c r="A27" s="36" t="s">
        <v>61</v>
      </c>
      <c r="B27" s="36" t="s">
        <v>62</v>
      </c>
      <c r="C27" s="21">
        <v>16672.006270000027</v>
      </c>
      <c r="D27" s="21">
        <v>12319.276900000006</v>
      </c>
      <c r="E27" s="21">
        <v>12738.729979999989</v>
      </c>
      <c r="F27" s="21">
        <v>13304.316949999988</v>
      </c>
      <c r="G27" s="21">
        <v>14120.525969999999</v>
      </c>
      <c r="H27" s="21">
        <v>14500.012700000018</v>
      </c>
      <c r="I27" s="21">
        <v>14901.624699999988</v>
      </c>
      <c r="J27" s="21">
        <v>16073.945189999997</v>
      </c>
      <c r="K27" s="21">
        <v>17683.609180000021</v>
      </c>
      <c r="L27" s="21">
        <v>17508.740310000001</v>
      </c>
      <c r="M27" s="21">
        <v>18265.176409999996</v>
      </c>
      <c r="N27" s="21">
        <v>18062.391010000007</v>
      </c>
      <c r="O27" s="21">
        <v>15708.428049999997</v>
      </c>
      <c r="P27" s="21">
        <v>0</v>
      </c>
      <c r="Q27" s="21">
        <v>0</v>
      </c>
      <c r="R27" s="21">
        <v>0</v>
      </c>
    </row>
    <row r="28" spans="1:18" outlineLevel="1" x14ac:dyDescent="0.3">
      <c r="A28" s="36" t="s">
        <v>63</v>
      </c>
      <c r="B28" s="36" t="s">
        <v>64</v>
      </c>
      <c r="C28" s="21">
        <v>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</row>
    <row r="29" spans="1:18" ht="14.15" customHeight="1" outlineLevel="1" x14ac:dyDescent="0.3">
      <c r="A29" s="36" t="s">
        <v>65</v>
      </c>
      <c r="B29" s="36" t="s">
        <v>66</v>
      </c>
      <c r="C29" s="21">
        <v>1051.77871</v>
      </c>
      <c r="D29" s="21">
        <v>1118.8167100000001</v>
      </c>
      <c r="E29" s="21">
        <v>1120.08419</v>
      </c>
      <c r="F29" s="21">
        <v>1006.6706499999999</v>
      </c>
      <c r="G29" s="21">
        <v>947.90688</v>
      </c>
      <c r="H29" s="21">
        <v>989.58</v>
      </c>
      <c r="I29" s="21">
        <v>880.88778000000002</v>
      </c>
      <c r="J29" s="21">
        <v>820.60343999999998</v>
      </c>
      <c r="K29" s="21">
        <v>746.91121999999996</v>
      </c>
      <c r="L29" s="21">
        <v>689.25824</v>
      </c>
      <c r="M29" s="21">
        <v>631.60526000000004</v>
      </c>
      <c r="N29" s="21">
        <v>600.2809400000001</v>
      </c>
      <c r="O29" s="21">
        <v>547.57396999999992</v>
      </c>
      <c r="P29" s="21">
        <v>0</v>
      </c>
      <c r="Q29" s="21">
        <v>0</v>
      </c>
      <c r="R29" s="21">
        <v>0</v>
      </c>
    </row>
    <row r="30" spans="1:18" outlineLevel="1" x14ac:dyDescent="0.3">
      <c r="A30" s="54" t="s">
        <v>67</v>
      </c>
      <c r="B30" s="54"/>
      <c r="C30" s="55">
        <v>35909.54227000002</v>
      </c>
      <c r="D30" s="55">
        <v>31387.416310000015</v>
      </c>
      <c r="E30" s="55">
        <v>31582.666099999995</v>
      </c>
      <c r="F30" s="55">
        <v>31782.631379999992</v>
      </c>
      <c r="G30" s="55">
        <f t="shared" ref="G30" si="2">SUM(G22:G29)</f>
        <v>32242.379420000001</v>
      </c>
      <c r="H30" s="55">
        <f t="shared" ref="H30:R30" si="3">SUM(H22:H29)</f>
        <v>32437.565720000021</v>
      </c>
      <c r="I30" s="55">
        <f t="shared" si="3"/>
        <v>32406.248979999993</v>
      </c>
      <c r="J30" s="55">
        <f t="shared" si="3"/>
        <v>33218.683100000002</v>
      </c>
      <c r="K30" s="55">
        <f t="shared" si="3"/>
        <v>34516.113110000028</v>
      </c>
      <c r="L30" s="55">
        <f t="shared" si="3"/>
        <v>34047.17543000001</v>
      </c>
      <c r="M30" s="55">
        <f t="shared" si="3"/>
        <v>34517.561459999997</v>
      </c>
      <c r="N30" s="55">
        <v>34050.171800000011</v>
      </c>
      <c r="O30" s="55">
        <v>31418.414829999998</v>
      </c>
      <c r="P30" s="55">
        <f t="shared" si="3"/>
        <v>0</v>
      </c>
      <c r="Q30" s="55">
        <f t="shared" si="3"/>
        <v>0</v>
      </c>
      <c r="R30" s="55">
        <f t="shared" si="3"/>
        <v>0</v>
      </c>
    </row>
    <row r="31" spans="1:18" ht="6.75" customHeight="1" outlineLevel="1" x14ac:dyDescent="0.3"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 ht="14.5" outlineLevel="1" thickBot="1" x14ac:dyDescent="0.35">
      <c r="A32" s="56" t="s">
        <v>68</v>
      </c>
      <c r="B32" s="56"/>
      <c r="C32" s="57">
        <v>104290.79583</v>
      </c>
      <c r="D32" s="57">
        <v>97093.795850000024</v>
      </c>
      <c r="E32" s="57">
        <v>92732.731109999993</v>
      </c>
      <c r="F32" s="57">
        <v>89535.291599999982</v>
      </c>
      <c r="G32" s="57">
        <f t="shared" ref="G32:R32" si="4">G19+G30</f>
        <v>89608.317989999996</v>
      </c>
      <c r="H32" s="57">
        <f t="shared" si="4"/>
        <v>90550.113789999989</v>
      </c>
      <c r="I32" s="57">
        <f t="shared" si="4"/>
        <v>88958.923079999993</v>
      </c>
      <c r="J32" s="57">
        <f t="shared" si="4"/>
        <v>85040.539599999989</v>
      </c>
      <c r="K32" s="57">
        <f t="shared" si="4"/>
        <v>81237.111640000017</v>
      </c>
      <c r="L32" s="57">
        <f t="shared" si="4"/>
        <v>81647.861839999998</v>
      </c>
      <c r="M32" s="57">
        <f t="shared" si="4"/>
        <v>80775.366479999997</v>
      </c>
      <c r="N32" s="57">
        <v>79603.240650000022</v>
      </c>
      <c r="O32" s="57">
        <v>77082.870509999993</v>
      </c>
      <c r="P32" s="57">
        <f t="shared" si="4"/>
        <v>0</v>
      </c>
      <c r="Q32" s="57">
        <f t="shared" si="4"/>
        <v>0</v>
      </c>
      <c r="R32" s="57">
        <f t="shared" si="4"/>
        <v>0</v>
      </c>
    </row>
    <row r="33" spans="1:18" ht="4.5" customHeight="1" outlineLevel="1" x14ac:dyDescent="0.3"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ht="4.5" customHeight="1" outlineLevel="1" x14ac:dyDescent="0.3"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 outlineLevel="1" x14ac:dyDescent="0.3">
      <c r="A35" s="50" t="s">
        <v>69</v>
      </c>
      <c r="B35" s="50"/>
      <c r="C35" s="32"/>
      <c r="D35" s="21"/>
      <c r="E35" s="21"/>
      <c r="F35" s="32"/>
      <c r="G35" s="32"/>
      <c r="H35" s="21"/>
      <c r="I35" s="21"/>
      <c r="J35" s="21"/>
      <c r="K35" s="21"/>
      <c r="L35" s="21"/>
      <c r="M35" s="32"/>
      <c r="N35" s="32"/>
      <c r="O35" s="32"/>
      <c r="P35" s="32"/>
      <c r="Q35" s="32"/>
      <c r="R35" s="32"/>
    </row>
    <row r="36" spans="1:18" ht="3" customHeight="1" outlineLevel="1" x14ac:dyDescent="0.3"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 outlineLevel="1" x14ac:dyDescent="0.3">
      <c r="A37" s="53" t="s">
        <v>70</v>
      </c>
      <c r="B37" s="5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outlineLevel="1" x14ac:dyDescent="0.3">
      <c r="A38" s="36" t="s">
        <v>71</v>
      </c>
      <c r="B38" s="36" t="s">
        <v>72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</row>
    <row r="39" spans="1:18" outlineLevel="2" x14ac:dyDescent="0.3">
      <c r="A39" s="36" t="s">
        <v>73</v>
      </c>
      <c r="B39" s="36" t="s">
        <v>74</v>
      </c>
      <c r="C39" s="21">
        <v>3598.3050800000001</v>
      </c>
      <c r="D39" s="21">
        <v>3598.3050800000001</v>
      </c>
      <c r="E39" s="21">
        <v>3598.3050800000001</v>
      </c>
      <c r="F39" s="21">
        <v>3625.0953799999997</v>
      </c>
      <c r="G39" s="21">
        <v>3625.0953799999997</v>
      </c>
      <c r="H39" s="21">
        <v>3625.0953799999997</v>
      </c>
      <c r="I39" s="21">
        <v>3652.14833</v>
      </c>
      <c r="J39" s="21">
        <v>3652.14833</v>
      </c>
      <c r="K39" s="21">
        <v>3652.14833</v>
      </c>
      <c r="L39" s="21">
        <v>3679.2012799999998</v>
      </c>
      <c r="M39" s="21">
        <v>3679.2012799999998</v>
      </c>
      <c r="N39" s="21">
        <v>3679.2012799999998</v>
      </c>
      <c r="O39" s="21">
        <v>3706.25423</v>
      </c>
      <c r="P39" s="21">
        <v>0</v>
      </c>
      <c r="Q39" s="21">
        <v>0</v>
      </c>
      <c r="R39" s="21">
        <v>0</v>
      </c>
    </row>
    <row r="40" spans="1:18" outlineLevel="1" x14ac:dyDescent="0.3">
      <c r="A40" s="36" t="s">
        <v>75</v>
      </c>
      <c r="B40" s="36" t="s">
        <v>76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</row>
    <row r="41" spans="1:18" outlineLevel="1" x14ac:dyDescent="0.3">
      <c r="A41" s="36" t="s">
        <v>77</v>
      </c>
      <c r="B41" s="36" t="s">
        <v>74</v>
      </c>
      <c r="C41" s="21">
        <v>168.31422000000001</v>
      </c>
      <c r="D41" s="21">
        <v>151.93674999999999</v>
      </c>
      <c r="E41" s="21">
        <v>133.08188000000001</v>
      </c>
      <c r="F41" s="21">
        <v>114.26602</v>
      </c>
      <c r="G41" s="21">
        <v>100.05981</v>
      </c>
      <c r="H41" s="21">
        <v>87.569550000000007</v>
      </c>
      <c r="I41" s="21">
        <v>75.008089999999996</v>
      </c>
      <c r="J41" s="21">
        <v>67.79316</v>
      </c>
      <c r="K41" s="21">
        <v>60.70505</v>
      </c>
      <c r="L41" s="21">
        <v>53.580739999999999</v>
      </c>
      <c r="M41" s="21">
        <v>46.456429999999997</v>
      </c>
      <c r="N41" s="21">
        <v>39.332120000000003</v>
      </c>
      <c r="O41" s="21">
        <v>37.206960000000002</v>
      </c>
      <c r="P41" s="21">
        <v>0</v>
      </c>
      <c r="Q41" s="21">
        <v>0</v>
      </c>
      <c r="R41" s="21">
        <v>0</v>
      </c>
    </row>
    <row r="42" spans="1:18" outlineLevel="1" x14ac:dyDescent="0.3">
      <c r="A42" s="36" t="s">
        <v>78</v>
      </c>
      <c r="B42" s="36" t="s">
        <v>74</v>
      </c>
      <c r="C42" s="21">
        <v>285.81734999999998</v>
      </c>
      <c r="D42" s="21">
        <v>287.18192999999997</v>
      </c>
      <c r="E42" s="21">
        <v>271.79953</v>
      </c>
      <c r="F42" s="21">
        <v>256.20515</v>
      </c>
      <c r="G42" s="21">
        <v>240.69635</v>
      </c>
      <c r="H42" s="21">
        <v>225.12429</v>
      </c>
      <c r="I42" s="21">
        <v>209.46151999999998</v>
      </c>
      <c r="J42" s="21">
        <v>187.88874999999999</v>
      </c>
      <c r="K42" s="21">
        <v>166.21280999999999</v>
      </c>
      <c r="L42" s="21">
        <v>144.43316000000002</v>
      </c>
      <c r="M42" s="21">
        <v>122.65351</v>
      </c>
      <c r="N42" s="21">
        <v>100.87386000000001</v>
      </c>
      <c r="O42" s="21">
        <v>78.779939999999996</v>
      </c>
      <c r="P42" s="21">
        <v>0</v>
      </c>
      <c r="Q42" s="21">
        <v>0</v>
      </c>
      <c r="R42" s="21">
        <v>0</v>
      </c>
    </row>
    <row r="43" spans="1:18" outlineLevel="1" x14ac:dyDescent="0.3">
      <c r="A43" s="36" t="s">
        <v>79</v>
      </c>
      <c r="B43" s="36" t="s">
        <v>74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</row>
    <row r="44" spans="1:18" outlineLevel="1" x14ac:dyDescent="0.3">
      <c r="A44" s="36" t="s">
        <v>80</v>
      </c>
      <c r="B44" s="36" t="s">
        <v>81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4047.7682</v>
      </c>
      <c r="K44" s="21">
        <v>3392.1347000000001</v>
      </c>
      <c r="L44" s="21">
        <v>2861.5012000000002</v>
      </c>
      <c r="M44" s="21">
        <v>2330.8677000000002</v>
      </c>
      <c r="N44" s="21">
        <v>3400</v>
      </c>
      <c r="O44" s="21">
        <v>3031.6666600000003</v>
      </c>
      <c r="P44" s="21">
        <v>0</v>
      </c>
      <c r="Q44" s="21">
        <v>0</v>
      </c>
      <c r="R44" s="21">
        <v>0</v>
      </c>
    </row>
    <row r="45" spans="1:18" outlineLevel="1" x14ac:dyDescent="0.3">
      <c r="A45" s="54" t="s">
        <v>82</v>
      </c>
      <c r="B45" s="54"/>
      <c r="C45" s="55">
        <v>4052.4366500000001</v>
      </c>
      <c r="D45" s="55">
        <v>4037.4237599999997</v>
      </c>
      <c r="E45" s="55">
        <v>4003.18649</v>
      </c>
      <c r="F45" s="55">
        <v>3995.5665499999996</v>
      </c>
      <c r="G45" s="55">
        <f t="shared" ref="G45" si="5">SUM(G38:G44)</f>
        <v>3965.8515400000001</v>
      </c>
      <c r="H45" s="55">
        <f t="shared" ref="H45:R45" si="6">SUM(H38:H44)</f>
        <v>3937.7892200000001</v>
      </c>
      <c r="I45" s="55">
        <f t="shared" si="6"/>
        <v>3936.6179399999996</v>
      </c>
      <c r="J45" s="55">
        <f t="shared" si="6"/>
        <v>7955.5984399999998</v>
      </c>
      <c r="K45" s="55">
        <f t="shared" si="6"/>
        <v>7271.2008900000001</v>
      </c>
      <c r="L45" s="55">
        <f t="shared" si="6"/>
        <v>6738.7163799999998</v>
      </c>
      <c r="M45" s="55">
        <f t="shared" si="6"/>
        <v>6179.1789200000003</v>
      </c>
      <c r="N45" s="55">
        <v>7219.40726</v>
      </c>
      <c r="O45" s="55">
        <v>6853.9077900000002</v>
      </c>
      <c r="P45" s="55">
        <f t="shared" si="6"/>
        <v>0</v>
      </c>
      <c r="Q45" s="55">
        <f t="shared" si="6"/>
        <v>0</v>
      </c>
      <c r="R45" s="55">
        <f t="shared" si="6"/>
        <v>0</v>
      </c>
    </row>
    <row r="46" spans="1:18" ht="6" customHeight="1" outlineLevel="1" x14ac:dyDescent="0.3">
      <c r="A46" s="58"/>
      <c r="B46" s="58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</row>
    <row r="47" spans="1:18" outlineLevel="1" x14ac:dyDescent="0.3">
      <c r="A47" s="36" t="s">
        <v>83</v>
      </c>
      <c r="B47" s="36" t="s">
        <v>84</v>
      </c>
      <c r="C47" s="21">
        <v>18404.949630000003</v>
      </c>
      <c r="D47" s="21">
        <v>19088.726200000001</v>
      </c>
      <c r="E47" s="21">
        <v>19841.866610000005</v>
      </c>
      <c r="F47" s="21">
        <v>19251.590100000001</v>
      </c>
      <c r="G47" s="21">
        <v>22822.648799999995</v>
      </c>
      <c r="H47" s="21">
        <v>25627.098740000001</v>
      </c>
      <c r="I47" s="21">
        <v>25627.742150000002</v>
      </c>
      <c r="J47" s="21">
        <v>23262.155779999997</v>
      </c>
      <c r="K47" s="21">
        <v>22144.849120000003</v>
      </c>
      <c r="L47" s="21">
        <v>18897.08829</v>
      </c>
      <c r="M47" s="21">
        <v>18629.316420000003</v>
      </c>
      <c r="N47" s="21">
        <v>21268.870640000001</v>
      </c>
      <c r="O47" s="21">
        <v>23472.139309999999</v>
      </c>
      <c r="P47" s="21">
        <v>0</v>
      </c>
      <c r="Q47" s="21">
        <v>0</v>
      </c>
      <c r="R47" s="21">
        <v>0</v>
      </c>
    </row>
    <row r="48" spans="1:18" outlineLevel="1" x14ac:dyDescent="0.3">
      <c r="A48" s="36" t="s">
        <v>85</v>
      </c>
      <c r="B48" s="36" t="s">
        <v>72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</row>
    <row r="49" spans="1:18" outlineLevel="1" x14ac:dyDescent="0.3">
      <c r="A49" s="36" t="s">
        <v>86</v>
      </c>
      <c r="B49" s="36" t="s">
        <v>72</v>
      </c>
      <c r="C49" s="21">
        <v>7227.8325800000002</v>
      </c>
      <c r="D49" s="21">
        <v>7494.9005299999999</v>
      </c>
      <c r="E49" s="21">
        <v>7627.7446000000018</v>
      </c>
      <c r="F49" s="21">
        <v>5878.3417799999997</v>
      </c>
      <c r="G49" s="21">
        <v>3202.7071200000009</v>
      </c>
      <c r="H49" s="21">
        <v>3962.71101</v>
      </c>
      <c r="I49" s="21">
        <v>4496.82</v>
      </c>
      <c r="J49" s="21">
        <v>3887.4796100000012</v>
      </c>
      <c r="K49" s="21">
        <v>2893.7916099999998</v>
      </c>
      <c r="L49" s="21">
        <v>3231.6189399999998</v>
      </c>
      <c r="M49" s="21">
        <v>4538.4640099999997</v>
      </c>
      <c r="N49" s="21">
        <v>5239.7780799999982</v>
      </c>
      <c r="O49" s="21">
        <v>5315.7083800000009</v>
      </c>
      <c r="P49" s="21">
        <v>0</v>
      </c>
      <c r="Q49" s="21">
        <v>0</v>
      </c>
      <c r="R49" s="21">
        <v>0</v>
      </c>
    </row>
    <row r="50" spans="1:18" outlineLevel="1" x14ac:dyDescent="0.3">
      <c r="A50" s="54" t="s">
        <v>70</v>
      </c>
      <c r="B50" s="54"/>
      <c r="C50" s="55">
        <v>25632.782210000005</v>
      </c>
      <c r="D50" s="55">
        <v>26583.62673</v>
      </c>
      <c r="E50" s="55">
        <v>27469.611210000006</v>
      </c>
      <c r="F50" s="55">
        <v>25129.93188</v>
      </c>
      <c r="G50" s="55">
        <f t="shared" ref="G50" si="7">SUM(G47:G49)</f>
        <v>26025.355919999995</v>
      </c>
      <c r="H50" s="55">
        <f t="shared" ref="H50:R50" si="8">SUM(H47:H49)</f>
        <v>29589.80975</v>
      </c>
      <c r="I50" s="55">
        <f t="shared" si="8"/>
        <v>30124.562150000002</v>
      </c>
      <c r="J50" s="55">
        <f t="shared" si="8"/>
        <v>27149.635389999999</v>
      </c>
      <c r="K50" s="55">
        <f t="shared" si="8"/>
        <v>25038.640730000003</v>
      </c>
      <c r="L50" s="55">
        <f t="shared" si="8"/>
        <v>22128.70723</v>
      </c>
      <c r="M50" s="55">
        <f t="shared" si="8"/>
        <v>23167.780430000003</v>
      </c>
      <c r="N50" s="55">
        <v>26508.648719999997</v>
      </c>
      <c r="O50" s="55">
        <v>28787.847689999999</v>
      </c>
      <c r="P50" s="55">
        <f t="shared" si="8"/>
        <v>0</v>
      </c>
      <c r="Q50" s="55">
        <f t="shared" si="8"/>
        <v>0</v>
      </c>
      <c r="R50" s="55">
        <f t="shared" si="8"/>
        <v>0</v>
      </c>
    </row>
    <row r="51" spans="1:18" ht="4.5" customHeight="1" outlineLevel="1" x14ac:dyDescent="0.3">
      <c r="A51" s="36"/>
      <c r="B51" s="36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outlineLevel="1" x14ac:dyDescent="0.3">
      <c r="A52" s="36" t="s">
        <v>87</v>
      </c>
      <c r="B52" s="36" t="s">
        <v>88</v>
      </c>
      <c r="C52" s="21">
        <v>-726.73809000000006</v>
      </c>
      <c r="D52" s="21">
        <v>-726.73809000000006</v>
      </c>
      <c r="E52" s="21">
        <v>-726.73809000000006</v>
      </c>
      <c r="F52" s="21">
        <v>-726.73809000000006</v>
      </c>
      <c r="G52" s="21">
        <v>-726.73809000000006</v>
      </c>
      <c r="H52" s="21">
        <v>-726.73809000000006</v>
      </c>
      <c r="I52" s="21">
        <v>-726.73809000000006</v>
      </c>
      <c r="J52" s="21">
        <v>-726.73809000000006</v>
      </c>
      <c r="K52" s="21">
        <v>-726.73809000000006</v>
      </c>
      <c r="L52" s="21">
        <v>-726.73809000000006</v>
      </c>
      <c r="M52" s="21">
        <v>-726.73809000000006</v>
      </c>
      <c r="N52" s="21">
        <v>-726.73809000000006</v>
      </c>
      <c r="O52" s="21">
        <v>-726.73809000000006</v>
      </c>
      <c r="P52" s="21">
        <v>0</v>
      </c>
      <c r="Q52" s="21">
        <v>0</v>
      </c>
      <c r="R52" s="21">
        <v>0</v>
      </c>
    </row>
    <row r="53" spans="1:18" outlineLevel="1" x14ac:dyDescent="0.3">
      <c r="A53" s="36" t="s">
        <v>89</v>
      </c>
      <c r="B53" s="36" t="s">
        <v>88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</row>
    <row r="54" spans="1:18" outlineLevel="1" x14ac:dyDescent="0.3">
      <c r="A54" s="59" t="s">
        <v>90</v>
      </c>
      <c r="B54" s="59"/>
      <c r="C54" s="9">
        <v>28958.480770000006</v>
      </c>
      <c r="D54" s="9">
        <v>29894.312400000003</v>
      </c>
      <c r="E54" s="9">
        <v>30746.059610000008</v>
      </c>
      <c r="F54" s="9">
        <v>28398.760340000001</v>
      </c>
      <c r="G54" s="9">
        <f t="shared" ref="G54" si="9">G45+G50+SUM(G52:G53)</f>
        <v>29264.469369999995</v>
      </c>
      <c r="H54" s="9">
        <f t="shared" ref="H54:I54" si="10">H45+H50+SUM(H52:H53)</f>
        <v>32800.86088</v>
      </c>
      <c r="I54" s="9">
        <f t="shared" si="10"/>
        <v>33334.442000000003</v>
      </c>
      <c r="J54" s="9">
        <f t="shared" ref="J54:R54" si="11">J45+J50+SUM(J52:J53)</f>
        <v>34378.495739999998</v>
      </c>
      <c r="K54" s="9">
        <f t="shared" si="11"/>
        <v>31583.103530000004</v>
      </c>
      <c r="L54" s="9">
        <f t="shared" si="11"/>
        <v>28140.685519999999</v>
      </c>
      <c r="M54" s="9">
        <f t="shared" si="11"/>
        <v>28620.221260000006</v>
      </c>
      <c r="N54" s="9">
        <v>33001.317889999998</v>
      </c>
      <c r="O54" s="9">
        <v>34915.017390000001</v>
      </c>
      <c r="P54" s="9">
        <f t="shared" si="11"/>
        <v>0</v>
      </c>
      <c r="Q54" s="9">
        <f t="shared" si="11"/>
        <v>0</v>
      </c>
      <c r="R54" s="9">
        <f t="shared" si="11"/>
        <v>0</v>
      </c>
    </row>
    <row r="55" spans="1:18" ht="3" customHeight="1" outlineLevel="1" x14ac:dyDescent="0.3">
      <c r="A55" s="36"/>
      <c r="B55" s="36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</row>
    <row r="56" spans="1:18" ht="22.4" customHeight="1" outlineLevel="1" x14ac:dyDescent="0.3">
      <c r="A56" s="53" t="s">
        <v>91</v>
      </c>
      <c r="B56" s="53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</row>
    <row r="57" spans="1:18" outlineLevel="1" x14ac:dyDescent="0.3">
      <c r="A57" s="36" t="s">
        <v>92</v>
      </c>
      <c r="B57" s="36" t="s">
        <v>93</v>
      </c>
      <c r="C57" s="21">
        <v>228.99030999999999</v>
      </c>
      <c r="D57" s="21">
        <v>220.91768999999999</v>
      </c>
      <c r="E57" s="21">
        <v>215.16820999999999</v>
      </c>
      <c r="F57" s="21">
        <v>209.55045999999999</v>
      </c>
      <c r="G57" s="21">
        <v>203.90188000000001</v>
      </c>
      <c r="H57" s="21">
        <v>198.22229999999999</v>
      </c>
      <c r="I57" s="21">
        <v>192.51152999999999</v>
      </c>
      <c r="J57" s="21">
        <v>186.76939000000002</v>
      </c>
      <c r="K57" s="21">
        <v>180.9957</v>
      </c>
      <c r="L57" s="21">
        <v>175.19029</v>
      </c>
      <c r="M57" s="21">
        <v>169.38488000000001</v>
      </c>
      <c r="N57" s="21">
        <v>163.57947000000001</v>
      </c>
      <c r="O57" s="21">
        <v>157.67775</v>
      </c>
      <c r="P57" s="21">
        <v>0</v>
      </c>
      <c r="Q57" s="21">
        <v>0</v>
      </c>
      <c r="R57" s="21">
        <v>0</v>
      </c>
    </row>
    <row r="58" spans="1:18" outlineLevel="1" x14ac:dyDescent="0.3">
      <c r="A58" s="36" t="s">
        <v>94</v>
      </c>
      <c r="B58" s="36" t="s">
        <v>93</v>
      </c>
      <c r="C58" s="21">
        <v>96.818910000000002</v>
      </c>
      <c r="D58" s="21">
        <v>72.835189999999997</v>
      </c>
      <c r="E58" s="21">
        <v>65.487989999999996</v>
      </c>
      <c r="F58" s="21">
        <v>58.092510000000004</v>
      </c>
      <c r="G58" s="21">
        <v>50.648420000000002</v>
      </c>
      <c r="H58" s="21">
        <v>43.155410000000003</v>
      </c>
      <c r="I58" s="21">
        <v>35.613059999999997</v>
      </c>
      <c r="J58" s="21">
        <v>33.894529999999996</v>
      </c>
      <c r="K58" s="21">
        <v>32.165259999999996</v>
      </c>
      <c r="L58" s="21">
        <v>30.425180000000001</v>
      </c>
      <c r="M58" s="21">
        <v>28.685099999999998</v>
      </c>
      <c r="N58" s="21">
        <v>26.94502</v>
      </c>
      <c r="O58" s="21">
        <v>25.17211</v>
      </c>
      <c r="P58" s="21">
        <v>0</v>
      </c>
      <c r="Q58" s="21">
        <v>0</v>
      </c>
      <c r="R58" s="21">
        <v>0</v>
      </c>
    </row>
    <row r="59" spans="1:18" outlineLevel="1" x14ac:dyDescent="0.3">
      <c r="A59" s="36" t="s">
        <v>95</v>
      </c>
      <c r="B59" s="36" t="s">
        <v>93</v>
      </c>
      <c r="C59" s="21">
        <v>1416.25683</v>
      </c>
      <c r="D59" s="21">
        <v>1584.25251</v>
      </c>
      <c r="E59" s="21">
        <v>1551.0962500000001</v>
      </c>
      <c r="F59" s="21">
        <v>1510.5101299999999</v>
      </c>
      <c r="G59" s="21">
        <v>1585.0248200000001</v>
      </c>
      <c r="H59" s="21">
        <v>1551.34745</v>
      </c>
      <c r="I59" s="21">
        <v>1497.3477499999999</v>
      </c>
      <c r="J59" s="21">
        <v>1464.2185500000001</v>
      </c>
      <c r="K59" s="21">
        <v>1424.5573899999999</v>
      </c>
      <c r="L59" s="21">
        <v>1400.1369999999999</v>
      </c>
      <c r="M59" s="21">
        <v>1452.0551499999999</v>
      </c>
      <c r="N59" s="21">
        <v>1415.7101499999999</v>
      </c>
      <c r="O59" s="21">
        <v>1382.2587699999999</v>
      </c>
      <c r="P59" s="21">
        <v>0</v>
      </c>
      <c r="Q59" s="21">
        <v>0</v>
      </c>
      <c r="R59" s="21">
        <v>0</v>
      </c>
    </row>
    <row r="60" spans="1:18" outlineLevel="1" x14ac:dyDescent="0.3">
      <c r="A60" s="36" t="s">
        <v>96</v>
      </c>
      <c r="B60" s="36" t="s">
        <v>93</v>
      </c>
      <c r="C60" s="21">
        <v>56940.202640000003</v>
      </c>
      <c r="D60" s="21">
        <v>49761.035810000001</v>
      </c>
      <c r="E60" s="21">
        <v>43357.748079999998</v>
      </c>
      <c r="F60" s="21">
        <v>42782.291640000003</v>
      </c>
      <c r="G60" s="21">
        <v>42360.271840000001</v>
      </c>
      <c r="H60" s="21">
        <v>42185.696090000005</v>
      </c>
      <c r="I60" s="21">
        <v>41869.670789999996</v>
      </c>
      <c r="J60" s="21">
        <v>39471.326609999996</v>
      </c>
      <c r="K60" s="21">
        <v>38757.610560000001</v>
      </c>
      <c r="L60" s="21">
        <v>34655.010270000006</v>
      </c>
      <c r="M60" s="21">
        <v>35895.06897</v>
      </c>
      <c r="N60" s="21">
        <v>33978.52792</v>
      </c>
      <c r="O60" s="21">
        <v>31704.990249999999</v>
      </c>
      <c r="P60" s="21">
        <v>0</v>
      </c>
      <c r="Q60" s="21">
        <v>0</v>
      </c>
      <c r="R60" s="21">
        <v>0</v>
      </c>
    </row>
    <row r="61" spans="1:18" outlineLevel="1" x14ac:dyDescent="0.3">
      <c r="A61" s="36" t="s">
        <v>97</v>
      </c>
      <c r="B61" s="36" t="s">
        <v>93</v>
      </c>
      <c r="C61" s="21">
        <v>40722.184890000004</v>
      </c>
      <c r="D61" s="21">
        <v>40674.778460000001</v>
      </c>
      <c r="E61" s="21">
        <v>40618.401939999996</v>
      </c>
      <c r="F61" s="21">
        <v>40352.834520000004</v>
      </c>
      <c r="G61" s="21">
        <v>40295.670610000001</v>
      </c>
      <c r="H61" s="21">
        <v>40225.543840000006</v>
      </c>
      <c r="I61" s="21">
        <v>40140.772210000003</v>
      </c>
      <c r="J61" s="21">
        <v>40070.036459999996</v>
      </c>
      <c r="K61" s="21">
        <v>40011.761440000002</v>
      </c>
      <c r="L61" s="21">
        <v>39926.214670000001</v>
      </c>
      <c r="M61" s="21">
        <v>39852.706199999993</v>
      </c>
      <c r="N61" s="21">
        <v>39792.862130000001</v>
      </c>
      <c r="O61" s="21">
        <v>39693.935310000001</v>
      </c>
      <c r="P61" s="21">
        <v>0</v>
      </c>
      <c r="Q61" s="21">
        <v>0</v>
      </c>
      <c r="R61" s="21">
        <v>0</v>
      </c>
    </row>
    <row r="62" spans="1:18" outlineLevel="1" x14ac:dyDescent="0.3">
      <c r="A62" s="36" t="s">
        <v>98</v>
      </c>
      <c r="B62" s="36" t="s">
        <v>93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</row>
    <row r="63" spans="1:18" outlineLevel="1" x14ac:dyDescent="0.3">
      <c r="A63" s="54" t="s">
        <v>99</v>
      </c>
      <c r="B63" s="54"/>
      <c r="C63" s="55">
        <v>99404.453580000001</v>
      </c>
      <c r="D63" s="55">
        <v>92313.819660000008</v>
      </c>
      <c r="E63" s="55">
        <v>85807.902470000001</v>
      </c>
      <c r="F63" s="55">
        <v>84913.27926000001</v>
      </c>
      <c r="G63" s="55">
        <f t="shared" ref="G63" si="12">SUM(G57:G62)</f>
        <v>84495.517569999996</v>
      </c>
      <c r="H63" s="55">
        <f t="shared" ref="H63:R63" si="13">SUM(H57:H62)</f>
        <v>84203.965090000012</v>
      </c>
      <c r="I63" s="55">
        <f t="shared" si="13"/>
        <v>83735.915340000007</v>
      </c>
      <c r="J63" s="55">
        <f t="shared" si="13"/>
        <v>81226.245539999989</v>
      </c>
      <c r="K63" s="55">
        <f t="shared" si="13"/>
        <v>80407.090350000013</v>
      </c>
      <c r="L63" s="55">
        <f t="shared" si="13"/>
        <v>76186.977410000007</v>
      </c>
      <c r="M63" s="55">
        <f t="shared" si="13"/>
        <v>77397.900299999994</v>
      </c>
      <c r="N63" s="55">
        <v>75377.624689999997</v>
      </c>
      <c r="O63" s="55">
        <v>72964.034190000006</v>
      </c>
      <c r="P63" s="55">
        <f t="shared" si="13"/>
        <v>0</v>
      </c>
      <c r="Q63" s="55">
        <f t="shared" si="13"/>
        <v>0</v>
      </c>
      <c r="R63" s="55">
        <f t="shared" si="13"/>
        <v>0</v>
      </c>
    </row>
    <row r="64" spans="1:18" ht="4.5" customHeight="1" outlineLevel="1" x14ac:dyDescent="0.3"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</row>
    <row r="65" spans="1:18" outlineLevel="1" x14ac:dyDescent="0.3">
      <c r="A65" s="36" t="s">
        <v>100</v>
      </c>
      <c r="B65" s="36" t="s">
        <v>101</v>
      </c>
      <c r="C65" s="21">
        <v>2551.3555899999997</v>
      </c>
      <c r="D65" s="21">
        <v>2233.8555900000001</v>
      </c>
      <c r="E65" s="21">
        <v>4625.6243199999999</v>
      </c>
      <c r="F65" s="21">
        <v>6677.49082</v>
      </c>
      <c r="G65" s="21">
        <v>6021.0243200000004</v>
      </c>
      <c r="H65" s="21">
        <v>5364.5574900000001</v>
      </c>
      <c r="I65" s="21">
        <v>4710.9017899999999</v>
      </c>
      <c r="J65" s="21">
        <v>6.66676</v>
      </c>
      <c r="K65" s="21">
        <v>5.8334299999999999</v>
      </c>
      <c r="L65" s="21">
        <v>5.0001000000000007</v>
      </c>
      <c r="M65" s="21">
        <v>4.1667700000000005</v>
      </c>
      <c r="N65" s="21">
        <v>3.33344</v>
      </c>
      <c r="O65" s="21">
        <v>0</v>
      </c>
      <c r="P65" s="21">
        <v>0</v>
      </c>
      <c r="Q65" s="21">
        <v>0</v>
      </c>
      <c r="R65" s="21">
        <v>0</v>
      </c>
    </row>
    <row r="66" spans="1:18" outlineLevel="1" x14ac:dyDescent="0.3">
      <c r="A66" s="36" t="s">
        <v>102</v>
      </c>
      <c r="B66" s="36" t="s">
        <v>103</v>
      </c>
      <c r="C66" s="21">
        <v>7897.4019100000005</v>
      </c>
      <c r="D66" s="21">
        <v>7897.4019100000005</v>
      </c>
      <c r="E66" s="21">
        <v>7897.4019100000005</v>
      </c>
      <c r="F66" s="21">
        <v>7897.4019100000005</v>
      </c>
      <c r="G66" s="21">
        <v>7897.4019100000005</v>
      </c>
      <c r="H66" s="21">
        <v>7897.4019100000005</v>
      </c>
      <c r="I66" s="21">
        <v>7897.4019100000005</v>
      </c>
      <c r="J66" s="21">
        <v>7897.4019100000005</v>
      </c>
      <c r="K66" s="21">
        <v>7897.4019100000005</v>
      </c>
      <c r="L66" s="21">
        <v>7897.4019100000005</v>
      </c>
      <c r="M66" s="21">
        <v>7901.2849100000003</v>
      </c>
      <c r="N66" s="21">
        <v>7901.2849100000003</v>
      </c>
      <c r="O66" s="21">
        <v>7901.2849100000003</v>
      </c>
      <c r="P66" s="21">
        <v>0</v>
      </c>
      <c r="Q66" s="21">
        <v>0</v>
      </c>
      <c r="R66" s="21">
        <v>0</v>
      </c>
    </row>
    <row r="67" spans="1:18" outlineLevel="1" x14ac:dyDescent="0.3">
      <c r="A67" s="54" t="s">
        <v>104</v>
      </c>
      <c r="B67" s="54"/>
      <c r="C67" s="55">
        <v>10448.7575</v>
      </c>
      <c r="D67" s="55">
        <v>10131.2575</v>
      </c>
      <c r="E67" s="55">
        <v>12523.026229999999</v>
      </c>
      <c r="F67" s="55">
        <v>14574.89273</v>
      </c>
      <c r="G67" s="55">
        <f t="shared" ref="G67" si="14">SUM(G65:G66)</f>
        <v>13918.426230000001</v>
      </c>
      <c r="H67" s="55">
        <f t="shared" ref="H67:R67" si="15">SUM(H65:H66)</f>
        <v>13261.9594</v>
      </c>
      <c r="I67" s="55">
        <f t="shared" si="15"/>
        <v>12608.3037</v>
      </c>
      <c r="J67" s="55">
        <f t="shared" si="15"/>
        <v>7904.0686700000006</v>
      </c>
      <c r="K67" s="55">
        <f t="shared" si="15"/>
        <v>7903.2353400000002</v>
      </c>
      <c r="L67" s="55">
        <f t="shared" si="15"/>
        <v>7902.4020100000007</v>
      </c>
      <c r="M67" s="55">
        <f t="shared" si="15"/>
        <v>7905.4516800000001</v>
      </c>
      <c r="N67" s="55">
        <v>7904.6183500000006</v>
      </c>
      <c r="O67" s="55">
        <v>7901.2849100000003</v>
      </c>
      <c r="P67" s="55">
        <f t="shared" si="15"/>
        <v>0</v>
      </c>
      <c r="Q67" s="55">
        <f t="shared" si="15"/>
        <v>0</v>
      </c>
      <c r="R67" s="55">
        <f t="shared" si="15"/>
        <v>0</v>
      </c>
    </row>
    <row r="68" spans="1:18" ht="6.75" customHeight="1" outlineLevel="1" x14ac:dyDescent="0.3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</row>
    <row r="69" spans="1:18" outlineLevel="1" x14ac:dyDescent="0.3">
      <c r="A69" s="53" t="s">
        <v>105</v>
      </c>
      <c r="B69" s="53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</row>
    <row r="70" spans="1:18" outlineLevel="1" x14ac:dyDescent="0.3">
      <c r="A70" s="36" t="s">
        <v>106</v>
      </c>
      <c r="B70" s="36" t="s">
        <v>107</v>
      </c>
      <c r="C70" s="21">
        <v>-0.01</v>
      </c>
      <c r="D70" s="21">
        <v>-0.01</v>
      </c>
      <c r="E70" s="21">
        <v>-0.01</v>
      </c>
      <c r="F70" s="21">
        <v>-0.01</v>
      </c>
      <c r="G70" s="21">
        <v>-0.01</v>
      </c>
      <c r="H70" s="21">
        <v>-0.01</v>
      </c>
      <c r="I70" s="21">
        <v>-0.01</v>
      </c>
      <c r="J70" s="21">
        <v>-0.01</v>
      </c>
      <c r="K70" s="21">
        <v>-0.01</v>
      </c>
      <c r="L70" s="21">
        <v>-0.01</v>
      </c>
      <c r="M70" s="21">
        <v>-0.01</v>
      </c>
      <c r="N70" s="21">
        <v>-0.01</v>
      </c>
      <c r="O70" s="21">
        <v>-0.01</v>
      </c>
      <c r="P70" s="21">
        <v>0</v>
      </c>
      <c r="Q70" s="21">
        <v>0</v>
      </c>
      <c r="R70" s="21">
        <v>0</v>
      </c>
    </row>
    <row r="71" spans="1:18" outlineLevel="1" x14ac:dyDescent="0.3">
      <c r="A71" s="36" t="s">
        <v>108</v>
      </c>
      <c r="B71" s="36" t="s">
        <v>107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</row>
    <row r="72" spans="1:18" outlineLevel="1" x14ac:dyDescent="0.3">
      <c r="A72" s="36" t="s">
        <v>109</v>
      </c>
      <c r="B72" s="36" t="s">
        <v>107</v>
      </c>
      <c r="C72" s="21">
        <v>6237.2177300000003</v>
      </c>
      <c r="D72" s="21">
        <v>6237.2177300000003</v>
      </c>
      <c r="E72" s="21">
        <v>6237.2177300000003</v>
      </c>
      <c r="F72" s="21">
        <v>6237.2177300000003</v>
      </c>
      <c r="G72" s="21">
        <v>6237.2177300000003</v>
      </c>
      <c r="H72" s="21">
        <v>6237.2177300000003</v>
      </c>
      <c r="I72" s="21">
        <v>6237.2177300000003</v>
      </c>
      <c r="J72" s="21">
        <v>11237.21773</v>
      </c>
      <c r="K72" s="21">
        <v>12737.21773</v>
      </c>
      <c r="L72" s="21">
        <v>22737.21773</v>
      </c>
      <c r="M72" s="21">
        <v>22737.21773</v>
      </c>
      <c r="N72" s="21">
        <v>22737.21773</v>
      </c>
      <c r="O72" s="21">
        <v>22737.21773</v>
      </c>
      <c r="P72" s="21">
        <v>0</v>
      </c>
      <c r="Q72" s="21">
        <v>0</v>
      </c>
      <c r="R72" s="21">
        <v>0</v>
      </c>
    </row>
    <row r="73" spans="1:18" outlineLevel="1" x14ac:dyDescent="0.3">
      <c r="A73" s="36" t="s">
        <v>110</v>
      </c>
      <c r="B73" s="36" t="s">
        <v>107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</row>
    <row r="74" spans="1:18" outlineLevel="1" x14ac:dyDescent="0.3">
      <c r="A74" s="36" t="s">
        <v>111</v>
      </c>
      <c r="B74" s="36" t="s">
        <v>107</v>
      </c>
      <c r="C74" s="21">
        <v>-44078.105349999991</v>
      </c>
      <c r="D74" s="21">
        <v>-44078.105349999991</v>
      </c>
      <c r="E74" s="21">
        <v>-44078.105349999991</v>
      </c>
      <c r="F74" s="21">
        <v>-44078.105349999991</v>
      </c>
      <c r="G74" s="21">
        <v>-51494.701720000005</v>
      </c>
      <c r="H74" s="21">
        <v>-51494.701720000005</v>
      </c>
      <c r="I74" s="21">
        <v>-51494.701720000005</v>
      </c>
      <c r="J74" s="21">
        <v>-51494.701720000005</v>
      </c>
      <c r="K74" s="21">
        <v>-51494.701720000005</v>
      </c>
      <c r="L74" s="21">
        <v>-51494.701720000005</v>
      </c>
      <c r="M74" s="21">
        <v>-51494.701720000005</v>
      </c>
      <c r="N74" s="21">
        <v>-51494.701720000005</v>
      </c>
      <c r="O74" s="21">
        <v>-51494.701720000005</v>
      </c>
      <c r="P74" s="21">
        <v>0</v>
      </c>
      <c r="Q74" s="21">
        <v>0</v>
      </c>
      <c r="R74" s="21">
        <v>0</v>
      </c>
    </row>
    <row r="75" spans="1:18" outlineLevel="1" x14ac:dyDescent="0.3">
      <c r="A75" s="36" t="s">
        <v>112</v>
      </c>
      <c r="B75" s="36" t="s">
        <v>107</v>
      </c>
      <c r="C75" s="21">
        <v>-5554.0059000000065</v>
      </c>
      <c r="D75" s="21">
        <v>-6278.7035899999601</v>
      </c>
      <c r="E75" s="21">
        <v>-7377.3670799999163</v>
      </c>
      <c r="F75" s="21">
        <v>-9384.7506100000137</v>
      </c>
      <c r="G75" s="21">
        <v>-1686.618689999935</v>
      </c>
      <c r="H75" s="21">
        <v>-3333.1950899999388</v>
      </c>
      <c r="I75" s="21">
        <v>-4336.2614699999658</v>
      </c>
      <c r="J75" s="21">
        <v>-7084.7938599999698</v>
      </c>
      <c r="K75" s="21">
        <v>-8772.8410899999672</v>
      </c>
      <c r="L75" s="21">
        <v>-10698.726609999874</v>
      </c>
      <c r="M75" s="21">
        <v>-13264.730269999958</v>
      </c>
      <c r="N75" s="21">
        <v>-16796.843789999937</v>
      </c>
      <c r="O75" s="21">
        <v>-18813.989489999924</v>
      </c>
      <c r="P75" s="21">
        <v>4.0978193283081052E-11</v>
      </c>
      <c r="Q75" s="21">
        <v>4.0978193283081052E-11</v>
      </c>
      <c r="R75" s="21">
        <v>4.0978193283081052E-11</v>
      </c>
    </row>
    <row r="76" spans="1:18" outlineLevel="1" x14ac:dyDescent="0.3">
      <c r="A76" s="36" t="s">
        <v>113</v>
      </c>
      <c r="B76" s="36" t="s">
        <v>107</v>
      </c>
      <c r="C76" s="21">
        <v>9300.6053400000001</v>
      </c>
      <c r="D76" s="21">
        <v>9300.6053400000001</v>
      </c>
      <c r="E76" s="21">
        <v>9300.6053400000001</v>
      </c>
      <c r="F76" s="21">
        <v>9300.6053400000001</v>
      </c>
      <c r="G76" s="21">
        <v>9300.6053400000001</v>
      </c>
      <c r="H76" s="21">
        <v>9300.6053400000001</v>
      </c>
      <c r="I76" s="21">
        <v>9300.6053400000001</v>
      </c>
      <c r="J76" s="21">
        <v>9300.6053400000001</v>
      </c>
      <c r="K76" s="21">
        <v>9300.6053400000001</v>
      </c>
      <c r="L76" s="21">
        <v>9300.6053400000001</v>
      </c>
      <c r="M76" s="21">
        <v>9300.6053400000001</v>
      </c>
      <c r="N76" s="21">
        <v>9300.6053400000001</v>
      </c>
      <c r="O76" s="21">
        <v>9300.6053400000001</v>
      </c>
      <c r="P76" s="21">
        <v>0</v>
      </c>
      <c r="Q76" s="21">
        <v>0</v>
      </c>
      <c r="R76" s="21">
        <v>0</v>
      </c>
    </row>
    <row r="77" spans="1:18" outlineLevel="1" x14ac:dyDescent="0.3">
      <c r="A77" s="36" t="s">
        <v>114</v>
      </c>
      <c r="B77" s="36" t="s">
        <v>107</v>
      </c>
      <c r="C77" s="21">
        <v>-426.59784000000002</v>
      </c>
      <c r="D77" s="21">
        <v>-426.59784000000002</v>
      </c>
      <c r="E77" s="21">
        <v>-426.59784000000002</v>
      </c>
      <c r="F77" s="21">
        <v>-426.59784000000002</v>
      </c>
      <c r="G77" s="21">
        <v>-426.59784000000002</v>
      </c>
      <c r="H77" s="21">
        <v>-426.59784000000002</v>
      </c>
      <c r="I77" s="21">
        <v>-426.59784000000002</v>
      </c>
      <c r="J77" s="21">
        <v>-426.59784000000002</v>
      </c>
      <c r="K77" s="21">
        <v>-426.59784000000002</v>
      </c>
      <c r="L77" s="21">
        <v>-426.59784000000002</v>
      </c>
      <c r="M77" s="21">
        <v>-426.59784000000002</v>
      </c>
      <c r="N77" s="21">
        <v>-426.59784000000002</v>
      </c>
      <c r="O77" s="21">
        <v>-426.59784000000002</v>
      </c>
      <c r="P77" s="21">
        <v>0</v>
      </c>
      <c r="Q77" s="21">
        <v>0</v>
      </c>
      <c r="R77" s="21">
        <v>0</v>
      </c>
    </row>
    <row r="78" spans="1:18" outlineLevel="1" x14ac:dyDescent="0.3">
      <c r="A78" s="36" t="s">
        <v>115</v>
      </c>
      <c r="B78" s="36" t="s">
        <v>107</v>
      </c>
      <c r="C78" s="21">
        <v>0</v>
      </c>
      <c r="D78" s="21">
        <v>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</row>
    <row r="79" spans="1:18" outlineLevel="1" x14ac:dyDescent="0.3">
      <c r="A79" s="58" t="s">
        <v>116</v>
      </c>
      <c r="B79" s="58"/>
      <c r="C79" s="21">
        <v>-34520.896019999993</v>
      </c>
      <c r="D79" s="21">
        <v>-35245.59370999995</v>
      </c>
      <c r="E79" s="21">
        <v>-36344.257199999905</v>
      </c>
      <c r="F79" s="21">
        <v>-38351.640730000006</v>
      </c>
      <c r="G79" s="21">
        <f t="shared" ref="G79:H79" si="16">SUM(G69:G78)</f>
        <v>-38070.10517999994</v>
      </c>
      <c r="H79" s="21">
        <f t="shared" si="16"/>
        <v>-39716.681579999939</v>
      </c>
      <c r="I79" s="21">
        <f t="shared" ref="I79:R79" si="17">SUM(I69:I78)</f>
        <v>-40719.747959999971</v>
      </c>
      <c r="J79" s="21">
        <f t="shared" si="17"/>
        <v>-38468.280349999972</v>
      </c>
      <c r="K79" s="21">
        <f t="shared" si="17"/>
        <v>-38656.327579999968</v>
      </c>
      <c r="L79" s="21">
        <f t="shared" si="17"/>
        <v>-30582.213099999874</v>
      </c>
      <c r="M79" s="21">
        <f t="shared" si="17"/>
        <v>-33148.216759999959</v>
      </c>
      <c r="N79" s="21">
        <v>-36680.330279999944</v>
      </c>
      <c r="O79" s="21">
        <v>-38697.475979999923</v>
      </c>
      <c r="P79" s="21">
        <f t="shared" si="17"/>
        <v>4.0978193283081052E-11</v>
      </c>
      <c r="Q79" s="21">
        <f t="shared" si="17"/>
        <v>4.0978193283081052E-11</v>
      </c>
      <c r="R79" s="21">
        <f t="shared" si="17"/>
        <v>4.0978193283081052E-11</v>
      </c>
    </row>
    <row r="80" spans="1:18" ht="5.25" customHeight="1" outlineLevel="1" x14ac:dyDescent="0.3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</row>
    <row r="81" spans="1:18" ht="12.75" customHeight="1" outlineLevel="1" x14ac:dyDescent="0.3">
      <c r="A81" s="60" t="s">
        <v>117</v>
      </c>
      <c r="B81" s="60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</row>
    <row r="82" spans="1:18" ht="4.5" customHeight="1" outlineLevel="1" x14ac:dyDescent="0.3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</row>
    <row r="83" spans="1:18" ht="14.5" outlineLevel="1" thickBot="1" x14ac:dyDescent="0.35">
      <c r="A83" s="61" t="s">
        <v>118</v>
      </c>
      <c r="B83" s="61"/>
      <c r="C83" s="7">
        <v>104290.79583000002</v>
      </c>
      <c r="D83" s="7">
        <v>97093.795850000053</v>
      </c>
      <c r="E83" s="7">
        <v>92732.73111000011</v>
      </c>
      <c r="F83" s="7">
        <v>89535.291599999997</v>
      </c>
      <c r="G83" s="7">
        <f t="shared" ref="G83:R83" si="18">G54+G63+G67+G79</f>
        <v>89608.307990000045</v>
      </c>
      <c r="H83" s="7">
        <f t="shared" si="18"/>
        <v>90550.103790000052</v>
      </c>
      <c r="I83" s="7">
        <f t="shared" si="18"/>
        <v>88958.913080000057</v>
      </c>
      <c r="J83" s="7">
        <f t="shared" si="18"/>
        <v>85040.529600000023</v>
      </c>
      <c r="K83" s="7">
        <f t="shared" si="18"/>
        <v>81237.101640000052</v>
      </c>
      <c r="L83" s="7">
        <f t="shared" si="18"/>
        <v>81647.851840000134</v>
      </c>
      <c r="M83" s="7">
        <f t="shared" si="18"/>
        <v>80775.356480000046</v>
      </c>
      <c r="N83" s="7">
        <v>79603.23065000007</v>
      </c>
      <c r="O83" s="7">
        <v>77082.860510000086</v>
      </c>
      <c r="P83" s="7">
        <f t="shared" si="18"/>
        <v>4.0978193283081052E-11</v>
      </c>
      <c r="Q83" s="7">
        <f t="shared" si="18"/>
        <v>4.0978193283081052E-11</v>
      </c>
      <c r="R83" s="7">
        <f t="shared" si="18"/>
        <v>4.0978193283081052E-11</v>
      </c>
    </row>
    <row r="84" spans="1:18" s="62" customFormat="1" ht="4.5" customHeight="1" outlineLevel="1" x14ac:dyDescent="0.3">
      <c r="A84" s="62" t="s">
        <v>119</v>
      </c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spans="1:18" ht="6.75" customHeight="1" outlineLevel="1" x14ac:dyDescent="0.3"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</row>
  </sheetData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E9EB-2644-4B2F-8BFA-4A5CCFBB5145}">
  <sheetPr codeName="Sheet17">
    <tabColor rgb="FF00B050"/>
    <pageSetUpPr fitToPage="1"/>
  </sheetPr>
  <dimension ref="A1:T57"/>
  <sheetViews>
    <sheetView workbookViewId="0">
      <selection activeCell="A33" sqref="A33:XFD33"/>
    </sheetView>
  </sheetViews>
  <sheetFormatPr defaultColWidth="9" defaultRowHeight="14" outlineLevelRow="1" x14ac:dyDescent="0.3"/>
  <cols>
    <col min="1" max="1" width="47.26953125" style="14" customWidth="1"/>
    <col min="2" max="2" width="2" style="14" customWidth="1"/>
    <col min="3" max="7" width="12.1796875" style="14" customWidth="1"/>
    <col min="8" max="8" width="14.1796875" style="14" customWidth="1"/>
    <col min="9" max="9" width="13" style="14" customWidth="1"/>
    <col min="10" max="10" width="12.81640625" style="14" customWidth="1"/>
    <col min="11" max="11" width="13.453125" style="14" customWidth="1"/>
    <col min="12" max="13" width="11.81640625" style="14" customWidth="1"/>
    <col min="14" max="14" width="12.1796875" style="14" customWidth="1"/>
    <col min="15" max="15" width="13.453125" style="14" customWidth="1"/>
    <col min="16" max="16" width="13.54296875" style="14" customWidth="1"/>
    <col min="17" max="17" width="12.1796875" style="14" customWidth="1"/>
    <col min="18" max="18" width="11.81640625" style="14" customWidth="1"/>
    <col min="19" max="19" width="13.453125" style="14" bestFit="1" customWidth="1"/>
    <col min="20" max="20" width="2" style="14" customWidth="1"/>
    <col min="21" max="16384" width="9" style="14"/>
  </cols>
  <sheetData>
    <row r="1" spans="1:20" x14ac:dyDescent="0.3">
      <c r="A1" s="12" t="s">
        <v>34</v>
      </c>
    </row>
    <row r="2" spans="1:20" x14ac:dyDescent="0.3">
      <c r="A2" s="15">
        <v>45930</v>
      </c>
      <c r="C2" s="35"/>
      <c r="D2" s="35"/>
      <c r="E2" s="35"/>
      <c r="F2" s="35"/>
      <c r="G2" s="35"/>
      <c r="H2" s="35"/>
      <c r="I2" s="35"/>
    </row>
    <row r="4" spans="1:20" ht="23.25" customHeight="1" x14ac:dyDescent="0.3">
      <c r="A4" s="64" t="s">
        <v>120</v>
      </c>
      <c r="B4" s="65"/>
      <c r="C4" s="65">
        <v>45626</v>
      </c>
      <c r="D4" s="65">
        <v>45657</v>
      </c>
      <c r="E4" s="65">
        <v>45688</v>
      </c>
      <c r="F4" s="65">
        <v>45716</v>
      </c>
      <c r="G4" s="65">
        <v>45747</v>
      </c>
      <c r="H4" s="65">
        <v>45777</v>
      </c>
      <c r="I4" s="65">
        <v>45808</v>
      </c>
      <c r="J4" s="65">
        <v>45838</v>
      </c>
      <c r="K4" s="65">
        <v>45869</v>
      </c>
      <c r="L4" s="65">
        <v>45900</v>
      </c>
      <c r="M4" s="65">
        <v>45930</v>
      </c>
      <c r="N4" s="65">
        <v>45961</v>
      </c>
      <c r="O4" s="65">
        <v>45991</v>
      </c>
      <c r="P4" s="65">
        <v>46022</v>
      </c>
      <c r="Q4" s="65">
        <v>46053</v>
      </c>
      <c r="R4" s="65">
        <v>46081</v>
      </c>
      <c r="S4" s="66" t="s">
        <v>3</v>
      </c>
      <c r="T4" s="18"/>
    </row>
    <row r="5" spans="1:20" x14ac:dyDescent="0.3">
      <c r="A5" s="36"/>
      <c r="B5" s="32"/>
      <c r="G5" s="14" t="s">
        <v>121</v>
      </c>
      <c r="T5" s="32"/>
    </row>
    <row r="6" spans="1:20" x14ac:dyDescent="0.3">
      <c r="A6" s="37" t="s">
        <v>122</v>
      </c>
      <c r="B6" s="11"/>
      <c r="C6" s="10">
        <v>723.73814000000016</v>
      </c>
      <c r="D6" s="10">
        <v>-682.72165000000052</v>
      </c>
      <c r="E6" s="10">
        <v>-1098.5504900000021</v>
      </c>
      <c r="F6" s="10">
        <v>-2008.3950300000008</v>
      </c>
      <c r="G6" s="10">
        <v>-1686.5267499999984</v>
      </c>
      <c r="H6" s="10">
        <v>-1613.3675399999977</v>
      </c>
      <c r="I6" s="10">
        <v>-979.76027000000079</v>
      </c>
      <c r="J6" s="10">
        <v>-2697.5323900000017</v>
      </c>
      <c r="K6" s="10">
        <v>-1688.0472300000022</v>
      </c>
      <c r="L6" s="10">
        <v>-1925.8855199999982</v>
      </c>
      <c r="M6" s="10">
        <v>-2566.0036599999994</v>
      </c>
      <c r="N6" s="10">
        <v>-3532.1135200000022</v>
      </c>
      <c r="O6" s="10">
        <v>-2017.1457000000009</v>
      </c>
      <c r="P6" s="10">
        <v>0</v>
      </c>
      <c r="Q6" s="10">
        <v>0</v>
      </c>
      <c r="R6" s="10">
        <v>0</v>
      </c>
      <c r="S6" s="10">
        <f>SUM(G6:R6)</f>
        <v>-18706.382580000001</v>
      </c>
      <c r="T6" s="11"/>
    </row>
    <row r="7" spans="1:20" x14ac:dyDescent="0.3">
      <c r="A7" s="38" t="s">
        <v>123</v>
      </c>
      <c r="B7" s="11"/>
      <c r="C7" s="10">
        <v>212.13120999999998</v>
      </c>
      <c r="D7" s="10">
        <v>218.38982000000001</v>
      </c>
      <c r="E7" s="10">
        <v>218.59882999999999</v>
      </c>
      <c r="F7" s="10">
        <v>200.67518000000001</v>
      </c>
      <c r="G7" s="10">
        <v>217.53211999999999</v>
      </c>
      <c r="H7" s="10">
        <v>211.73193000000001</v>
      </c>
      <c r="I7" s="10">
        <v>217.15349999999998</v>
      </c>
      <c r="J7" s="10">
        <v>211.80257999999995</v>
      </c>
      <c r="K7" s="10">
        <v>212.24687000000003</v>
      </c>
      <c r="L7" s="10">
        <v>209.49726000000001</v>
      </c>
      <c r="M7" s="10">
        <v>201.32852000000003</v>
      </c>
      <c r="N7" s="10">
        <v>206.69629</v>
      </c>
      <c r="O7" s="10">
        <v>200.31104000000002</v>
      </c>
      <c r="P7" s="10">
        <v>0</v>
      </c>
      <c r="Q7" s="10">
        <v>0</v>
      </c>
      <c r="R7" s="10">
        <v>0</v>
      </c>
      <c r="S7" s="10">
        <f>SUM(G7:R7)</f>
        <v>1888.3001100000001</v>
      </c>
      <c r="T7" s="11"/>
    </row>
    <row r="8" spans="1:20" x14ac:dyDescent="0.3">
      <c r="A8" s="38" t="s">
        <v>124</v>
      </c>
      <c r="B8" s="11"/>
      <c r="C8" s="10">
        <v>1038.0963300000001</v>
      </c>
      <c r="D8" s="10">
        <v>1029.7238</v>
      </c>
      <c r="E8" s="10">
        <v>1119.8305800000001</v>
      </c>
      <c r="F8" s="10">
        <v>763.46778000000018</v>
      </c>
      <c r="G8" s="10">
        <v>1185.60778</v>
      </c>
      <c r="H8" s="10">
        <v>993.94918999999982</v>
      </c>
      <c r="I8" s="10">
        <v>1052.0456700000002</v>
      </c>
      <c r="J8" s="10">
        <v>953.80475999999999</v>
      </c>
      <c r="K8" s="10">
        <v>984.85847000000001</v>
      </c>
      <c r="L8" s="10">
        <v>947.50526000000013</v>
      </c>
      <c r="M8" s="10">
        <v>916.12394000000018</v>
      </c>
      <c r="N8" s="10">
        <v>1527.17858</v>
      </c>
      <c r="O8" s="10">
        <v>808.17307000000005</v>
      </c>
      <c r="P8" s="10">
        <v>0</v>
      </c>
      <c r="Q8" s="10">
        <v>0</v>
      </c>
      <c r="R8" s="10">
        <v>0</v>
      </c>
      <c r="S8" s="10">
        <f>SUM(G8:R8)</f>
        <v>9369.246720000001</v>
      </c>
      <c r="T8" s="11"/>
    </row>
    <row r="9" spans="1:20" outlineLevel="1" x14ac:dyDescent="0.3">
      <c r="A9" s="38" t="s">
        <v>125</v>
      </c>
      <c r="B9" s="11"/>
      <c r="C9" s="10">
        <v>0.14213000000000001</v>
      </c>
      <c r="D9" s="10">
        <v>-41.976039999999998</v>
      </c>
      <c r="E9" s="10">
        <v>-0.113</v>
      </c>
      <c r="F9" s="10">
        <v>1.0115000000000001</v>
      </c>
      <c r="G9" s="10">
        <v>-9.1939999999999994E-2</v>
      </c>
      <c r="H9" s="10">
        <v>-33.208860000000001</v>
      </c>
      <c r="I9" s="10">
        <v>-23.306109999999997</v>
      </c>
      <c r="J9" s="10">
        <v>-51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f>SUM(G9:R9)</f>
        <v>-107.60691</v>
      </c>
      <c r="T9" s="11"/>
    </row>
    <row r="10" spans="1:20" x14ac:dyDescent="0.3">
      <c r="A10" s="38" t="s">
        <v>126</v>
      </c>
      <c r="B10" s="11"/>
      <c r="C10" s="10">
        <v>-86.713272108625389</v>
      </c>
      <c r="D10" s="10">
        <v>-100.1462007893807</v>
      </c>
      <c r="E10" s="10">
        <v>-92.249860207134972</v>
      </c>
      <c r="F10" s="10">
        <v>-55.016110281479257</v>
      </c>
      <c r="G10" s="10">
        <v>-93.633486982826497</v>
      </c>
      <c r="H10" s="10">
        <v>-81.768002230664138</v>
      </c>
      <c r="I10" s="10">
        <v>-95.281458989982838</v>
      </c>
      <c r="J10" s="10">
        <v>-83.377797787732675</v>
      </c>
      <c r="K10" s="10">
        <v>-96.960039116692386</v>
      </c>
      <c r="L10" s="10">
        <v>-97.871020152221789</v>
      </c>
      <c r="M10" s="10">
        <v>-85.907369913731941</v>
      </c>
      <c r="N10" s="10">
        <v>-99.597696725533524</v>
      </c>
      <c r="O10" s="10">
        <v>-87.594046789395733</v>
      </c>
      <c r="P10" s="10">
        <v>0</v>
      </c>
      <c r="Q10" s="10">
        <v>0</v>
      </c>
      <c r="R10" s="10">
        <v>0</v>
      </c>
      <c r="S10" s="10">
        <f>SUM(G10:R10)</f>
        <v>-821.99091868878156</v>
      </c>
      <c r="T10" s="11"/>
    </row>
    <row r="11" spans="1:20" ht="6.75" customHeight="1" x14ac:dyDescent="0.3">
      <c r="A11" s="38"/>
      <c r="B11" s="39"/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/>
      <c r="T11" s="39"/>
    </row>
    <row r="12" spans="1:20" x14ac:dyDescent="0.3">
      <c r="A12" s="37" t="s">
        <v>127</v>
      </c>
      <c r="B12" s="39"/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/>
      <c r="T12" s="39"/>
    </row>
    <row r="13" spans="1:20" x14ac:dyDescent="0.3">
      <c r="A13" s="38" t="s">
        <v>41</v>
      </c>
      <c r="B13" s="11"/>
      <c r="C13" s="10">
        <v>-1308.8958000000007</v>
      </c>
      <c r="D13" s="10">
        <v>-497.2007199999951</v>
      </c>
      <c r="E13" s="10">
        <v>6258.7177699999975</v>
      </c>
      <c r="F13" s="10">
        <v>1613.2548699999991</v>
      </c>
      <c r="G13" s="10">
        <v>2720.1774799999994</v>
      </c>
      <c r="H13" s="10">
        <v>-985.0319799999977</v>
      </c>
      <c r="I13" s="10">
        <v>870.55685999999946</v>
      </c>
      <c r="J13" s="10">
        <v>1275.8936099999994</v>
      </c>
      <c r="K13" s="10">
        <v>-3.763120000001043</v>
      </c>
      <c r="L13" s="10">
        <v>535.360160000002</v>
      </c>
      <c r="M13" s="10">
        <v>-2121.1867500000017</v>
      </c>
      <c r="N13" s="10">
        <v>645.8630800000019</v>
      </c>
      <c r="O13" s="10">
        <v>2594.4842599999988</v>
      </c>
      <c r="P13" s="10">
        <v>0</v>
      </c>
      <c r="Q13" s="10">
        <v>0</v>
      </c>
      <c r="R13" s="10">
        <v>0</v>
      </c>
      <c r="S13" s="10">
        <f t="shared" ref="S13:S15" si="0">SUM(G13:R13)</f>
        <v>5532.3536000000004</v>
      </c>
      <c r="T13" s="11"/>
    </row>
    <row r="14" spans="1:20" x14ac:dyDescent="0.3">
      <c r="A14" s="38" t="s">
        <v>44</v>
      </c>
      <c r="B14" s="11"/>
      <c r="C14" s="10">
        <v>3866.9097699999884</v>
      </c>
      <c r="D14" s="10">
        <v>4003.8861200000047</v>
      </c>
      <c r="E14" s="10">
        <v>-1705.0492199999987</v>
      </c>
      <c r="F14" s="10">
        <v>-22.957450000002979</v>
      </c>
      <c r="G14" s="10">
        <v>-1555.3535600000023</v>
      </c>
      <c r="H14" s="10">
        <v>419.93602999999376</v>
      </c>
      <c r="I14" s="10">
        <v>1319.2156199999972</v>
      </c>
      <c r="J14" s="10">
        <v>3453.9037500000077</v>
      </c>
      <c r="K14" s="10">
        <v>2722.8764200000019</v>
      </c>
      <c r="L14" s="10">
        <v>2234.4443199999964</v>
      </c>
      <c r="M14" s="10">
        <v>112.22285000000521</v>
      </c>
      <c r="N14" s="10">
        <v>1222.0789699999914</v>
      </c>
      <c r="O14" s="10">
        <v>-2777.9957099999933</v>
      </c>
      <c r="P14" s="10">
        <v>0</v>
      </c>
      <c r="Q14" s="10">
        <v>0</v>
      </c>
      <c r="R14" s="10">
        <v>0</v>
      </c>
      <c r="S14" s="10">
        <f t="shared" si="0"/>
        <v>7151.3286899999985</v>
      </c>
      <c r="T14" s="11"/>
    </row>
    <row r="15" spans="1:20" x14ac:dyDescent="0.3">
      <c r="A15" s="38" t="s">
        <v>128</v>
      </c>
      <c r="B15" s="11"/>
      <c r="C15" s="10">
        <v>-190.34879000000004</v>
      </c>
      <c r="D15" s="10">
        <v>1.4435899999998509</v>
      </c>
      <c r="E15" s="10">
        <v>-54.217470000000674</v>
      </c>
      <c r="F15" s="10">
        <v>27.379150000000372</v>
      </c>
      <c r="G15" s="10">
        <v>19.559429999999701</v>
      </c>
      <c r="H15" s="10">
        <v>-262.92016000000012</v>
      </c>
      <c r="I15" s="10">
        <v>78.877710000000889</v>
      </c>
      <c r="J15" s="10">
        <v>186.96170999999995</v>
      </c>
      <c r="K15" s="10">
        <v>51.389989999999294</v>
      </c>
      <c r="L15" s="10">
        <v>72.705990000000227</v>
      </c>
      <c r="M15" s="10">
        <v>-4.7612899999991063</v>
      </c>
      <c r="N15" s="10">
        <v>-72.268870000001044</v>
      </c>
      <c r="O15" s="10">
        <v>122.93883000000054</v>
      </c>
      <c r="P15" s="10">
        <v>0</v>
      </c>
      <c r="Q15" s="10">
        <v>0</v>
      </c>
      <c r="R15" s="10">
        <v>0</v>
      </c>
      <c r="S15" s="10">
        <f t="shared" si="0"/>
        <v>192.48334000000037</v>
      </c>
      <c r="T15" s="11"/>
    </row>
    <row r="16" spans="1:20" x14ac:dyDescent="0.3">
      <c r="A16" s="38" t="s">
        <v>129</v>
      </c>
      <c r="B16" s="11"/>
      <c r="C16" s="10">
        <v>-5182.8901499999965</v>
      </c>
      <c r="D16" s="10">
        <v>1086.1045199999994</v>
      </c>
      <c r="E16" s="10">
        <v>784.28448000000412</v>
      </c>
      <c r="F16" s="10">
        <v>-2247.8193300000034</v>
      </c>
      <c r="G16" s="10">
        <v>2961.184339999998</v>
      </c>
      <c r="H16" s="10">
        <v>3473.273830000006</v>
      </c>
      <c r="I16" s="10">
        <v>496.09239999999846</v>
      </c>
      <c r="J16" s="10">
        <v>-2992.4167600000019</v>
      </c>
      <c r="K16" s="10">
        <v>-2235.5146599999998</v>
      </c>
      <c r="L16" s="10">
        <v>-2989.6835000000028</v>
      </c>
      <c r="M16" s="10">
        <v>1027.1332000000029</v>
      </c>
      <c r="N16" s="10">
        <v>3196.1982899999971</v>
      </c>
      <c r="O16" s="10">
        <v>2191.948969999999</v>
      </c>
      <c r="P16" s="10">
        <v>0</v>
      </c>
      <c r="Q16" s="10">
        <v>0</v>
      </c>
      <c r="R16" s="10">
        <v>0</v>
      </c>
      <c r="S16" s="10">
        <f>SUM(G16:R16)</f>
        <v>5128.2161099999967</v>
      </c>
      <c r="T16" s="11"/>
    </row>
    <row r="17" spans="1:20" x14ac:dyDescent="0.3">
      <c r="A17" s="38" t="s">
        <v>130</v>
      </c>
      <c r="B17" s="11"/>
      <c r="C17" s="10">
        <v>-317.49999999999994</v>
      </c>
      <c r="D17" s="10">
        <v>-317.49999999999994</v>
      </c>
      <c r="E17" s="10">
        <v>-0.83333000000038737</v>
      </c>
      <c r="F17" s="10">
        <v>-0.83332999999993262</v>
      </c>
      <c r="G17" s="10">
        <v>-0.83332999999993262</v>
      </c>
      <c r="H17" s="10">
        <v>-0.83332999999993262</v>
      </c>
      <c r="I17" s="10">
        <v>-0.83333000000004631</v>
      </c>
      <c r="J17" s="10">
        <v>-0.83332999999970525</v>
      </c>
      <c r="K17" s="10">
        <v>-656.46683000000007</v>
      </c>
      <c r="L17" s="10">
        <v>-504.41387999999989</v>
      </c>
      <c r="M17" s="10">
        <v>-531.46683000000007</v>
      </c>
      <c r="N17" s="10">
        <v>1068.2989699999989</v>
      </c>
      <c r="O17" s="10">
        <v>-344.61382999999915</v>
      </c>
      <c r="P17" s="10">
        <v>0</v>
      </c>
      <c r="Q17" s="10">
        <v>0</v>
      </c>
      <c r="R17" s="10">
        <v>0</v>
      </c>
      <c r="S17" s="10">
        <f t="shared" ref="S17:S18" si="1">SUM(G17:R17)</f>
        <v>-971.99571999999989</v>
      </c>
      <c r="T17" s="11"/>
    </row>
    <row r="18" spans="1:20" x14ac:dyDescent="0.3">
      <c r="A18" s="37" t="s">
        <v>131</v>
      </c>
      <c r="B18" s="11"/>
      <c r="C18" s="40">
        <v>-3132.7249700000089</v>
      </c>
      <c r="D18" s="40">
        <v>4276.7335100000091</v>
      </c>
      <c r="E18" s="40">
        <v>5282.9022300000015</v>
      </c>
      <c r="F18" s="40">
        <v>-630.97609000000693</v>
      </c>
      <c r="G18" s="40">
        <f t="shared" ref="G18:R18" si="2">SUM(G13:G17)</f>
        <v>4144.7343599999949</v>
      </c>
      <c r="H18" s="40">
        <f t="shared" si="2"/>
        <v>2644.4243900000019</v>
      </c>
      <c r="I18" s="40">
        <f t="shared" si="2"/>
        <v>2763.9092599999963</v>
      </c>
      <c r="J18" s="40">
        <f t="shared" si="2"/>
        <v>1923.5089800000048</v>
      </c>
      <c r="K18" s="40">
        <f t="shared" si="2"/>
        <v>-121.47819999999979</v>
      </c>
      <c r="L18" s="40">
        <f t="shared" si="2"/>
        <v>-651.58691000000385</v>
      </c>
      <c r="M18" s="40">
        <f t="shared" si="2"/>
        <v>-1518.0588199999927</v>
      </c>
      <c r="N18" s="40">
        <v>6060.170439999988</v>
      </c>
      <c r="O18" s="40">
        <v>1786.7625200000059</v>
      </c>
      <c r="P18" s="40">
        <f t="shared" si="2"/>
        <v>0</v>
      </c>
      <c r="Q18" s="40">
        <f t="shared" si="2"/>
        <v>0</v>
      </c>
      <c r="R18" s="40">
        <f t="shared" si="2"/>
        <v>0</v>
      </c>
      <c r="S18" s="40">
        <f t="shared" si="1"/>
        <v>17032.386019999998</v>
      </c>
      <c r="T18" s="11"/>
    </row>
    <row r="19" spans="1:20" ht="6.75" customHeight="1" x14ac:dyDescent="0.3">
      <c r="A19" s="37"/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</row>
    <row r="20" spans="1:20" x14ac:dyDescent="0.3">
      <c r="A20" s="38" t="s">
        <v>132</v>
      </c>
      <c r="B20" s="11"/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f>SUM(G20:R20)</f>
        <v>0</v>
      </c>
      <c r="T20" s="11"/>
    </row>
    <row r="21" spans="1:20" ht="7.5" customHeight="1" x14ac:dyDescent="0.3">
      <c r="A21" s="38"/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</row>
    <row r="22" spans="1:20" x14ac:dyDescent="0.3">
      <c r="A22" s="41" t="s">
        <v>133</v>
      </c>
      <c r="B22" s="42"/>
      <c r="C22" s="43">
        <v>-1245.3304321086341</v>
      </c>
      <c r="D22" s="43">
        <v>4700.0032392106277</v>
      </c>
      <c r="E22" s="43">
        <v>5430.418289792864</v>
      </c>
      <c r="F22" s="43">
        <v>-1729.2327702814869</v>
      </c>
      <c r="G22" s="43">
        <f t="shared" ref="G22:R22" si="3">SUM(G6:G10)+G18+G20</f>
        <v>3767.6220830171701</v>
      </c>
      <c r="H22" s="43">
        <f t="shared" si="3"/>
        <v>2121.76110776934</v>
      </c>
      <c r="I22" s="43">
        <f t="shared" ref="I22:J22" si="4">SUM(I6:I10)+I18+I20</f>
        <v>2934.7605910100128</v>
      </c>
      <c r="J22" s="43">
        <f t="shared" si="4"/>
        <v>257.20613221227063</v>
      </c>
      <c r="K22" s="43">
        <f t="shared" si="3"/>
        <v>-709.38012911669443</v>
      </c>
      <c r="L22" s="43">
        <f t="shared" si="3"/>
        <v>-1518.3409301522238</v>
      </c>
      <c r="M22" s="43">
        <f t="shared" si="3"/>
        <v>-3052.5173899137235</v>
      </c>
      <c r="N22" s="43">
        <v>4162.3340932744522</v>
      </c>
      <c r="O22" s="43">
        <v>690.50688321060943</v>
      </c>
      <c r="P22" s="43">
        <f t="shared" si="3"/>
        <v>0</v>
      </c>
      <c r="Q22" s="43">
        <f t="shared" si="3"/>
        <v>0</v>
      </c>
      <c r="R22" s="43">
        <f t="shared" si="3"/>
        <v>0</v>
      </c>
      <c r="S22" s="43">
        <f>SUM(S6:S10)+S18+S20</f>
        <v>8653.9524413112158</v>
      </c>
      <c r="T22" s="42"/>
    </row>
    <row r="23" spans="1:20" ht="6.75" customHeight="1" x14ac:dyDescent="0.3">
      <c r="A23" s="38"/>
      <c r="B23" s="3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39"/>
    </row>
    <row r="24" spans="1:20" ht="6" customHeight="1" x14ac:dyDescent="0.3">
      <c r="A24" s="38"/>
      <c r="B24" s="3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39"/>
    </row>
    <row r="25" spans="1:20" x14ac:dyDescent="0.3">
      <c r="A25" s="37" t="s">
        <v>134</v>
      </c>
      <c r="B25" s="3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39"/>
    </row>
    <row r="26" spans="1:20" outlineLevel="1" x14ac:dyDescent="0.3">
      <c r="A26" s="38" t="s">
        <v>60</v>
      </c>
      <c r="B26" s="11"/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f>SUM(G26:R26)</f>
        <v>0</v>
      </c>
      <c r="T26" s="11"/>
    </row>
    <row r="27" spans="1:20" x14ac:dyDescent="0.3">
      <c r="A27" s="38" t="s">
        <v>135</v>
      </c>
      <c r="B27" s="11"/>
      <c r="C27" s="10">
        <v>105.2893600000089</v>
      </c>
      <c r="D27" s="10">
        <v>-135.86287000000155</v>
      </c>
      <c r="E27" s="10">
        <v>-27.190280000009444</v>
      </c>
      <c r="F27" s="10">
        <v>84.394499999999425</v>
      </c>
      <c r="G27" s="10">
        <v>-4.9125000000008345</v>
      </c>
      <c r="H27" s="10">
        <v>-16.477409999998088</v>
      </c>
      <c r="I27" s="10">
        <v>-2.9891000000011223</v>
      </c>
      <c r="J27" s="10">
        <v>-2.7748399999977833</v>
      </c>
      <c r="K27" s="10">
        <v>-3.4798300000040503</v>
      </c>
      <c r="L27" s="10">
        <v>-2.9706700000014576</v>
      </c>
      <c r="M27" s="10">
        <v>-2.8206699999972717</v>
      </c>
      <c r="N27" s="10">
        <v>-3.3055900000029297</v>
      </c>
      <c r="O27" s="10">
        <v>-3.4272100000000001</v>
      </c>
      <c r="P27" s="10">
        <v>0</v>
      </c>
      <c r="Q27" s="10">
        <v>0</v>
      </c>
      <c r="R27" s="10">
        <v>0</v>
      </c>
      <c r="S27" s="10">
        <f>SUM(G27:R27)</f>
        <v>-43.157820000003539</v>
      </c>
      <c r="T27" s="11"/>
    </row>
    <row r="28" spans="1:20" outlineLevel="1" x14ac:dyDescent="0.3">
      <c r="A28" s="38" t="s">
        <v>136</v>
      </c>
      <c r="B28" s="11"/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f>SUM(G28:R28)</f>
        <v>0</v>
      </c>
      <c r="T28" s="11"/>
    </row>
    <row r="29" spans="1:20" outlineLevel="1" x14ac:dyDescent="0.3">
      <c r="A29" s="38" t="s">
        <v>137</v>
      </c>
      <c r="B29" s="11"/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f>SUM(G29:R29)</f>
        <v>0</v>
      </c>
      <c r="T29" s="11"/>
    </row>
    <row r="30" spans="1:20" x14ac:dyDescent="0.3">
      <c r="A30" s="38" t="s">
        <v>138</v>
      </c>
      <c r="B30" s="11"/>
      <c r="C30" s="10">
        <v>49.027680000000046</v>
      </c>
      <c r="D30" s="10">
        <v>50.450820000000043</v>
      </c>
      <c r="E30" s="10">
        <v>-3.7345399999999884</v>
      </c>
      <c r="F30" s="10">
        <v>-1.205949999999973</v>
      </c>
      <c r="G30" s="10">
        <v>57.230170000000093</v>
      </c>
      <c r="H30" s="10">
        <v>-44.19298000000002</v>
      </c>
      <c r="I30" s="10">
        <v>107.15114999999997</v>
      </c>
      <c r="J30" s="10">
        <v>55.84652999999998</v>
      </c>
      <c r="K30" s="10">
        <v>72.151149999999973</v>
      </c>
      <c r="L30" s="10">
        <v>56.111910000000094</v>
      </c>
      <c r="M30" s="10">
        <v>56.11190999999998</v>
      </c>
      <c r="N30" s="10">
        <v>29.783249999999995</v>
      </c>
      <c r="O30" s="10">
        <v>51.165899999999979</v>
      </c>
      <c r="P30" s="10">
        <v>0</v>
      </c>
      <c r="Q30" s="10">
        <v>0</v>
      </c>
      <c r="R30" s="10">
        <v>0</v>
      </c>
      <c r="S30" s="10">
        <f>SUM(G30:R30)</f>
        <v>441.35899000000001</v>
      </c>
      <c r="T30" s="11"/>
    </row>
    <row r="31" spans="1:20" x14ac:dyDescent="0.3">
      <c r="A31" s="38"/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1:20" x14ac:dyDescent="0.3">
      <c r="A32" s="41" t="s">
        <v>139</v>
      </c>
      <c r="B32" s="42"/>
      <c r="C32" s="43">
        <v>154.31704000000894</v>
      </c>
      <c r="D32" s="43">
        <v>-85.4120500000015</v>
      </c>
      <c r="E32" s="43">
        <v>-30.924820000009433</v>
      </c>
      <c r="F32" s="43">
        <v>83.188549999999452</v>
      </c>
      <c r="G32" s="43">
        <f t="shared" ref="G32:R32" si="5">SUM(G26:G30)</f>
        <v>52.317669999999261</v>
      </c>
      <c r="H32" s="43">
        <f t="shared" si="5"/>
        <v>-60.670389999998108</v>
      </c>
      <c r="I32" s="43">
        <f t="shared" si="5"/>
        <v>104.16204999999886</v>
      </c>
      <c r="J32" s="43">
        <f t="shared" si="5"/>
        <v>53.071690000002199</v>
      </c>
      <c r="K32" s="43">
        <f t="shared" si="5"/>
        <v>68.671319999995916</v>
      </c>
      <c r="L32" s="43">
        <f t="shared" si="5"/>
        <v>53.141239999998639</v>
      </c>
      <c r="M32" s="43">
        <f t="shared" si="5"/>
        <v>53.291240000002709</v>
      </c>
      <c r="N32" s="43">
        <v>26.477659999997066</v>
      </c>
      <c r="O32" s="43">
        <v>47.738689999999977</v>
      </c>
      <c r="P32" s="43">
        <f t="shared" si="5"/>
        <v>0</v>
      </c>
      <c r="Q32" s="43">
        <f t="shared" si="5"/>
        <v>0</v>
      </c>
      <c r="R32" s="43">
        <f t="shared" si="5"/>
        <v>0</v>
      </c>
      <c r="S32" s="43">
        <f>SUM(S26:S30)</f>
        <v>398.20116999999647</v>
      </c>
      <c r="T32" s="42"/>
    </row>
    <row r="33" spans="1:20" x14ac:dyDescent="0.3">
      <c r="A33" s="38"/>
      <c r="B33" s="3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39"/>
    </row>
    <row r="34" spans="1:20" x14ac:dyDescent="0.3">
      <c r="A34" s="37" t="s">
        <v>140</v>
      </c>
      <c r="B34" s="3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39"/>
    </row>
    <row r="35" spans="1:20" outlineLevel="1" x14ac:dyDescent="0.3">
      <c r="A35" s="38" t="s">
        <v>141</v>
      </c>
      <c r="B35" s="11"/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f t="shared" ref="S35:S36" si="6">SUM(G35:R35)</f>
        <v>0</v>
      </c>
      <c r="T35" s="11"/>
    </row>
    <row r="36" spans="1:20" x14ac:dyDescent="0.3">
      <c r="A36" s="38" t="s">
        <v>142</v>
      </c>
      <c r="B36" s="11"/>
      <c r="C36" s="10">
        <v>2165.3406899999864</v>
      </c>
      <c r="D36" s="10">
        <v>4352.7293700000118</v>
      </c>
      <c r="E36" s="10">
        <v>-419.45307999998329</v>
      </c>
      <c r="F36" s="10">
        <v>-565.58696999999881</v>
      </c>
      <c r="G36" s="10">
        <v>-816.20896000000835</v>
      </c>
      <c r="H36" s="10">
        <v>-379.48673000001907</v>
      </c>
      <c r="I36" s="10">
        <v>-401.61199999997018</v>
      </c>
      <c r="J36" s="10">
        <v>-1172.3204900000096</v>
      </c>
      <c r="K36" s="10">
        <v>-1609.6639900000243</v>
      </c>
      <c r="L36" s="10">
        <v>174.86887000001968</v>
      </c>
      <c r="M36" s="10">
        <v>-756.43609999999398</v>
      </c>
      <c r="N36" s="10">
        <v>202.78539999999106</v>
      </c>
      <c r="O36" s="10">
        <v>2353.9629600000085</v>
      </c>
      <c r="P36" s="10">
        <v>0</v>
      </c>
      <c r="Q36" s="10">
        <v>0</v>
      </c>
      <c r="R36" s="10">
        <v>0</v>
      </c>
      <c r="S36" s="10">
        <f t="shared" si="6"/>
        <v>-2404.1110400000075</v>
      </c>
      <c r="T36" s="11"/>
    </row>
    <row r="37" spans="1:20" outlineLevel="1" x14ac:dyDescent="0.3">
      <c r="A37" s="38" t="s">
        <v>143</v>
      </c>
      <c r="B37" s="11"/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5000</v>
      </c>
      <c r="K37" s="10">
        <v>1500</v>
      </c>
      <c r="L37" s="10">
        <v>10000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/>
      <c r="T37" s="11"/>
    </row>
    <row r="38" spans="1:20" x14ac:dyDescent="0.3">
      <c r="A38" s="38" t="s">
        <v>144</v>
      </c>
      <c r="B38" s="11"/>
      <c r="C38" s="10">
        <v>14.993549999999349</v>
      </c>
      <c r="D38" s="10">
        <v>-7326.7194599999984</v>
      </c>
      <c r="E38" s="10">
        <v>-6551.9141100000043</v>
      </c>
      <c r="F38" s="10">
        <v>-869.24966999999765</v>
      </c>
      <c r="G38" s="10">
        <v>-572.81719999999689</v>
      </c>
      <c r="H38" s="10">
        <v>-326.47052000000002</v>
      </c>
      <c r="I38" s="10">
        <v>-469.02544000000461</v>
      </c>
      <c r="J38" s="10">
        <v>-2552.4577299999996</v>
      </c>
      <c r="K38" s="10">
        <v>-868.95110999999702</v>
      </c>
      <c r="L38" s="10">
        <v>-4258.9650299999994</v>
      </c>
      <c r="M38" s="10">
        <v>1083.6939599999955</v>
      </c>
      <c r="N38" s="10">
        <v>-2072.9057899999971</v>
      </c>
      <c r="O38" s="10">
        <v>-2429.902410000002</v>
      </c>
      <c r="P38" s="10">
        <v>0</v>
      </c>
      <c r="Q38" s="10">
        <v>0</v>
      </c>
      <c r="R38" s="10">
        <v>0</v>
      </c>
      <c r="S38" s="10">
        <f t="shared" ref="S38:S40" si="7">SUM(G38:R38)</f>
        <v>-12467.801270000002</v>
      </c>
      <c r="T38" s="11"/>
    </row>
    <row r="39" spans="1:20" outlineLevel="1" x14ac:dyDescent="0.3">
      <c r="A39" s="38" t="s">
        <v>145</v>
      </c>
      <c r="B39" s="11"/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f t="shared" si="7"/>
        <v>0</v>
      </c>
      <c r="T39" s="11"/>
    </row>
    <row r="40" spans="1:20" x14ac:dyDescent="0.3">
      <c r="A40" s="38" t="s">
        <v>146</v>
      </c>
      <c r="B40" s="11"/>
      <c r="C40" s="10">
        <v>34.183270000003276</v>
      </c>
      <c r="D40" s="10">
        <v>100.14619999999553</v>
      </c>
      <c r="E40" s="10">
        <v>92.249859999999401</v>
      </c>
      <c r="F40" s="10">
        <v>28.225810000002383</v>
      </c>
      <c r="G40" s="10">
        <v>93.633490000002084</v>
      </c>
      <c r="H40" s="10">
        <v>81.768000000000001</v>
      </c>
      <c r="I40" s="10">
        <v>68.228509999997911</v>
      </c>
      <c r="J40" s="10">
        <v>83.377799999997023</v>
      </c>
      <c r="K40" s="10">
        <v>96.960040000006558</v>
      </c>
      <c r="L40" s="10">
        <v>70.817969999998809</v>
      </c>
      <c r="M40" s="10">
        <v>82.856269999995831</v>
      </c>
      <c r="N40" s="10">
        <v>96.520670000001786</v>
      </c>
      <c r="O40" s="10">
        <v>57.437920000001789</v>
      </c>
      <c r="P40" s="10">
        <v>0</v>
      </c>
      <c r="Q40" s="10">
        <v>0</v>
      </c>
      <c r="R40" s="10">
        <v>0</v>
      </c>
      <c r="S40" s="10">
        <f t="shared" si="7"/>
        <v>731.60067000000174</v>
      </c>
      <c r="T40" s="11"/>
    </row>
    <row r="41" spans="1:20" x14ac:dyDescent="0.3">
      <c r="A41" s="38" t="s">
        <v>147</v>
      </c>
      <c r="B41" s="11"/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f t="shared" ref="S41" si="8">SUM(G41:R41)</f>
        <v>0</v>
      </c>
      <c r="T41" s="11"/>
    </row>
    <row r="42" spans="1:20" x14ac:dyDescent="0.3">
      <c r="A42" s="38" t="s">
        <v>148</v>
      </c>
      <c r="B42" s="11"/>
      <c r="C42" s="10">
        <v>0</v>
      </c>
      <c r="D42" s="10">
        <v>0</v>
      </c>
      <c r="E42" s="10">
        <v>2392.6020600000002</v>
      </c>
      <c r="F42" s="10">
        <v>2052.69983</v>
      </c>
      <c r="G42" s="10">
        <v>-655.63316999999995</v>
      </c>
      <c r="H42" s="10">
        <v>-655.63350000000003</v>
      </c>
      <c r="I42" s="10">
        <v>-655.63350000000003</v>
      </c>
      <c r="J42" s="10">
        <v>-655.63350000000037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f t="shared" ref="S42" si="9">SUM(G42:R42)</f>
        <v>-2622.5336700000003</v>
      </c>
      <c r="T42" s="11"/>
    </row>
    <row r="43" spans="1:20" x14ac:dyDescent="0.3">
      <c r="A43" s="38" t="s">
        <v>149</v>
      </c>
      <c r="B43" s="11"/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f t="shared" ref="S43:S44" si="10">SUM(G43:R43)</f>
        <v>0</v>
      </c>
      <c r="T43" s="11"/>
    </row>
    <row r="44" spans="1:20" x14ac:dyDescent="0.3">
      <c r="A44" s="38" t="s">
        <v>150</v>
      </c>
      <c r="B44" s="11"/>
      <c r="C44" s="10">
        <v>-49.274000000000001</v>
      </c>
      <c r="D44" s="10">
        <v>-47.069000000000003</v>
      </c>
      <c r="E44" s="10">
        <v>-47.334000000000003</v>
      </c>
      <c r="F44" s="10">
        <v>-47.423000000000002</v>
      </c>
      <c r="G44" s="10">
        <v>-42.808</v>
      </c>
      <c r="H44" s="10">
        <v>-41.234999999999999</v>
      </c>
      <c r="I44" s="10">
        <v>-41.477350000000001</v>
      </c>
      <c r="J44" s="10">
        <v>-36.248370000000001</v>
      </c>
      <c r="K44" s="10">
        <v>-36.267009999999999</v>
      </c>
      <c r="L44" s="10">
        <v>-36.449449999999999</v>
      </c>
      <c r="M44" s="10">
        <v>-36.449449999999999</v>
      </c>
      <c r="N44" s="10">
        <v>-36.449449999999999</v>
      </c>
      <c r="O44" s="10">
        <v>-31.893709999999963</v>
      </c>
      <c r="P44" s="10">
        <v>0</v>
      </c>
      <c r="Q44" s="10">
        <v>0</v>
      </c>
      <c r="R44" s="10">
        <v>0</v>
      </c>
      <c r="S44" s="10">
        <f t="shared" si="10"/>
        <v>-339.27778999999998</v>
      </c>
      <c r="T44" s="11"/>
    </row>
    <row r="45" spans="1:20" hidden="1" outlineLevel="1" x14ac:dyDescent="0.3">
      <c r="A45" s="38" t="s">
        <v>151</v>
      </c>
      <c r="B45" s="11"/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f t="shared" ref="S45:S48" si="11">SUM(G45:R45)</f>
        <v>0</v>
      </c>
      <c r="T45" s="11"/>
    </row>
    <row r="46" spans="1:20" hidden="1" outlineLevel="1" x14ac:dyDescent="0.3">
      <c r="A46" s="38" t="s">
        <v>152</v>
      </c>
      <c r="B46" s="11"/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f t="shared" si="11"/>
        <v>0</v>
      </c>
      <c r="T46" s="11"/>
    </row>
    <row r="47" spans="1:20" collapsed="1" x14ac:dyDescent="0.3">
      <c r="A47" s="38" t="s">
        <v>113</v>
      </c>
      <c r="B47" s="11"/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f t="shared" si="11"/>
        <v>0</v>
      </c>
      <c r="T47" s="11"/>
    </row>
    <row r="48" spans="1:20" x14ac:dyDescent="0.3">
      <c r="A48" s="38" t="s">
        <v>153</v>
      </c>
      <c r="B48" s="11"/>
      <c r="C48" s="10">
        <v>-894.03823872851581</v>
      </c>
      <c r="D48" s="10">
        <v>-860.42549704901126</v>
      </c>
      <c r="E48" s="10">
        <v>-922.50976854658495</v>
      </c>
      <c r="F48" s="10">
        <v>-732.35056375803049</v>
      </c>
      <c r="G48" s="10">
        <v>-1028.4432613307908</v>
      </c>
      <c r="H48" s="10">
        <v>-821.4410385206379</v>
      </c>
      <c r="I48" s="10">
        <v>-830.62586894156038</v>
      </c>
      <c r="J48" s="10">
        <v>-791.05578437484053</v>
      </c>
      <c r="K48" s="10">
        <v>-771.726070883283</v>
      </c>
      <c r="L48" s="10">
        <v>-762.87350940697638</v>
      </c>
      <c r="M48" s="10">
        <v>-731.04398725683245</v>
      </c>
      <c r="N48" s="10">
        <v>-1287.8260179011895</v>
      </c>
      <c r="O48" s="10">
        <v>-637.03773337066173</v>
      </c>
      <c r="P48" s="10">
        <v>0</v>
      </c>
      <c r="Q48" s="10">
        <v>0</v>
      </c>
      <c r="R48" s="10">
        <v>0</v>
      </c>
      <c r="S48" s="10">
        <f t="shared" si="11"/>
        <v>-7662.0732719867729</v>
      </c>
      <c r="T48" s="11"/>
    </row>
    <row r="49" spans="1:20" x14ac:dyDescent="0.3">
      <c r="A49" s="38"/>
      <c r="B49" s="11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1:20" x14ac:dyDescent="0.3">
      <c r="A50" s="41" t="s">
        <v>154</v>
      </c>
      <c r="B50" s="42"/>
      <c r="C50" s="43">
        <v>1271.2052712714731</v>
      </c>
      <c r="D50" s="43">
        <v>-3781.3383870490024</v>
      </c>
      <c r="E50" s="43">
        <v>-5456.3590385465732</v>
      </c>
      <c r="F50" s="43">
        <v>-133.68456375802441</v>
      </c>
      <c r="G50" s="43">
        <f t="shared" ref="G50:S50" si="12">SUM(G35:G48)</f>
        <v>-3022.2771013307943</v>
      </c>
      <c r="H50" s="43">
        <f t="shared" ref="H50:R50" si="13">SUM(H35:H48)</f>
        <v>-2142.4987885206565</v>
      </c>
      <c r="I50" s="43">
        <f t="shared" si="13"/>
        <v>-2330.1456489415373</v>
      </c>
      <c r="J50" s="43">
        <f t="shared" si="13"/>
        <v>-124.33807437485314</v>
      </c>
      <c r="K50" s="43">
        <f t="shared" si="13"/>
        <v>-1689.6481408832979</v>
      </c>
      <c r="L50" s="43">
        <f t="shared" si="13"/>
        <v>5187.3988505930438</v>
      </c>
      <c r="M50" s="43">
        <f t="shared" si="13"/>
        <v>-357.37930725683509</v>
      </c>
      <c r="N50" s="43">
        <v>-3097.8751879011938</v>
      </c>
      <c r="O50" s="43">
        <v>-687.43297337065337</v>
      </c>
      <c r="P50" s="43">
        <f t="shared" si="13"/>
        <v>0</v>
      </c>
      <c r="Q50" s="43">
        <f t="shared" si="13"/>
        <v>0</v>
      </c>
      <c r="R50" s="43">
        <f t="shared" si="13"/>
        <v>0</v>
      </c>
      <c r="S50" s="43">
        <f t="shared" si="12"/>
        <v>-24764.196371986782</v>
      </c>
      <c r="T50" s="42"/>
    </row>
    <row r="51" spans="1:20" x14ac:dyDescent="0.3">
      <c r="A51" s="38"/>
      <c r="B51" s="3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32"/>
    </row>
    <row r="52" spans="1:20" x14ac:dyDescent="0.3">
      <c r="A52" s="41" t="s">
        <v>155</v>
      </c>
      <c r="B52" s="44"/>
      <c r="C52" s="45">
        <v>180.19187916284795</v>
      </c>
      <c r="D52" s="45">
        <v>833.25280216162355</v>
      </c>
      <c r="E52" s="45">
        <v>-56.865568753718435</v>
      </c>
      <c r="F52" s="45">
        <v>-1779.728784039512</v>
      </c>
      <c r="G52" s="45">
        <f t="shared" ref="G52:S52" si="14">G22+G32+G50</f>
        <v>797.66265168637528</v>
      </c>
      <c r="H52" s="45">
        <f t="shared" si="14"/>
        <v>-81.408070751314426</v>
      </c>
      <c r="I52" s="45">
        <f t="shared" si="14"/>
        <v>708.77699206847456</v>
      </c>
      <c r="J52" s="45">
        <f t="shared" si="14"/>
        <v>185.9397478374197</v>
      </c>
      <c r="K52" s="45">
        <f t="shared" si="14"/>
        <v>-2330.3569499999962</v>
      </c>
      <c r="L52" s="45">
        <f t="shared" si="14"/>
        <v>3722.1991604408186</v>
      </c>
      <c r="M52" s="45">
        <f t="shared" si="14"/>
        <v>-3356.6054571705558</v>
      </c>
      <c r="N52" s="45">
        <v>1090.9365653732552</v>
      </c>
      <c r="O52" s="45">
        <v>50.812599839956079</v>
      </c>
      <c r="P52" s="45">
        <f t="shared" si="14"/>
        <v>0</v>
      </c>
      <c r="Q52" s="45">
        <f t="shared" si="14"/>
        <v>0</v>
      </c>
      <c r="R52" s="45">
        <f t="shared" si="14"/>
        <v>0</v>
      </c>
      <c r="S52" s="45">
        <f t="shared" si="14"/>
        <v>-15712.042760675569</v>
      </c>
      <c r="T52" s="44"/>
    </row>
    <row r="53" spans="1:20" x14ac:dyDescent="0.3">
      <c r="A53" s="38" t="s">
        <v>156</v>
      </c>
      <c r="B53" s="46"/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f>SUM(G53:R53)</f>
        <v>0</v>
      </c>
      <c r="T53" s="46"/>
    </row>
    <row r="54" spans="1:20" x14ac:dyDescent="0.3">
      <c r="A54" s="38" t="s">
        <v>157</v>
      </c>
      <c r="B54" s="11"/>
      <c r="C54" s="48">
        <v>2221.3063299999999</v>
      </c>
      <c r="D54" s="48">
        <v>2401.4932599999997</v>
      </c>
      <c r="E54" s="48">
        <v>3234.7482299999997</v>
      </c>
      <c r="F54" s="48">
        <v>3177.8847799999999</v>
      </c>
      <c r="G54" s="48">
        <v>1398</v>
      </c>
      <c r="H54" s="48">
        <f>+G55</f>
        <v>2195.6626516863753</v>
      </c>
      <c r="I54" s="48">
        <f t="shared" ref="I54" si="15">+H55</f>
        <v>2114.2545809350609</v>
      </c>
      <c r="J54" s="48">
        <f>+I55</f>
        <v>2823.0315730035354</v>
      </c>
      <c r="K54" s="48">
        <f>+J55</f>
        <v>3008.9713208409553</v>
      </c>
      <c r="L54" s="48">
        <f>+K55</f>
        <v>678.61437084095905</v>
      </c>
      <c r="M54" s="48">
        <f>+L55</f>
        <v>4400.8135312817776</v>
      </c>
      <c r="N54" s="48">
        <v>1044.36643</v>
      </c>
      <c r="O54" s="48">
        <v>2135.3034400000006</v>
      </c>
      <c r="P54" s="48">
        <v>0</v>
      </c>
      <c r="Q54" s="48">
        <v>0</v>
      </c>
      <c r="R54" s="48">
        <v>0</v>
      </c>
      <c r="S54" s="48">
        <f>+G54</f>
        <v>1398</v>
      </c>
      <c r="T54" s="11"/>
    </row>
    <row r="55" spans="1:20" x14ac:dyDescent="0.3">
      <c r="A55" s="37" t="s">
        <v>158</v>
      </c>
      <c r="B55" s="49"/>
      <c r="C55" s="45">
        <v>2401.4982091628481</v>
      </c>
      <c r="D55" s="45">
        <v>3234.7460621616233</v>
      </c>
      <c r="E55" s="45">
        <v>3177.8826612462813</v>
      </c>
      <c r="F55" s="45">
        <v>1398.1559959604879</v>
      </c>
      <c r="G55" s="45">
        <f t="shared" ref="G55:R55" si="16">SUM(G52:G54)</f>
        <v>2195.6626516863753</v>
      </c>
      <c r="H55" s="45">
        <f t="shared" si="16"/>
        <v>2114.2545809350609</v>
      </c>
      <c r="I55" s="45">
        <f t="shared" si="16"/>
        <v>2823.0315730035354</v>
      </c>
      <c r="J55" s="45">
        <f t="shared" si="16"/>
        <v>3008.9713208409553</v>
      </c>
      <c r="K55" s="45">
        <f t="shared" si="16"/>
        <v>678.61437084095905</v>
      </c>
      <c r="L55" s="45">
        <f t="shared" si="16"/>
        <v>4400.8135312817776</v>
      </c>
      <c r="M55" s="45">
        <f t="shared" si="16"/>
        <v>1044.2080741112218</v>
      </c>
      <c r="N55" s="45">
        <v>2135.3029953732553</v>
      </c>
      <c r="O55" s="45">
        <v>2186.1160398399566</v>
      </c>
      <c r="P55" s="45">
        <f t="shared" si="16"/>
        <v>0</v>
      </c>
      <c r="Q55" s="45">
        <f t="shared" si="16"/>
        <v>0</v>
      </c>
      <c r="R55" s="45">
        <f t="shared" si="16"/>
        <v>0</v>
      </c>
      <c r="S55" s="45">
        <f>S54+S52+S53</f>
        <v>-14314.042760675569</v>
      </c>
      <c r="T55" s="49"/>
    </row>
    <row r="56" spans="1:20" ht="8.25" customHeight="1" x14ac:dyDescent="0.3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20" x14ac:dyDescent="0.3">
      <c r="S57" s="35"/>
    </row>
  </sheetData>
  <conditionalFormatting sqref="B22">
    <cfRule type="containsErrors" dxfId="10" priority="4">
      <formula>ISERROR(B22)</formula>
    </cfRule>
  </conditionalFormatting>
  <conditionalFormatting sqref="B32">
    <cfRule type="containsErrors" dxfId="9" priority="6">
      <formula>ISERROR(B32)</formula>
    </cfRule>
  </conditionalFormatting>
  <conditionalFormatting sqref="B50">
    <cfRule type="containsErrors" dxfId="8" priority="5">
      <formula>ISERROR(B50)</formula>
    </cfRule>
  </conditionalFormatting>
  <conditionalFormatting sqref="B52:B53">
    <cfRule type="containsErrors" dxfId="7" priority="3">
      <formula>ISERROR(B52)</formula>
    </cfRule>
  </conditionalFormatting>
  <conditionalFormatting sqref="B55">
    <cfRule type="containsErrors" dxfId="6" priority="2">
      <formula>ISERROR(B55)</formula>
    </cfRule>
  </conditionalFormatting>
  <conditionalFormatting sqref="C4:S4">
    <cfRule type="containsErrors" dxfId="5" priority="1">
      <formula>ISERROR(C4)</formula>
    </cfRule>
  </conditionalFormatting>
  <conditionalFormatting sqref="T22">
    <cfRule type="containsErrors" dxfId="4" priority="9">
      <formula>ISERROR(T22)</formula>
    </cfRule>
  </conditionalFormatting>
  <conditionalFormatting sqref="T32">
    <cfRule type="containsErrors" dxfId="3" priority="11">
      <formula>ISERROR(T32)</formula>
    </cfRule>
  </conditionalFormatting>
  <conditionalFormatting sqref="T50">
    <cfRule type="containsErrors" dxfId="2" priority="10">
      <formula>ISERROR(T50)</formula>
    </cfRule>
  </conditionalFormatting>
  <conditionalFormatting sqref="T52:T53">
    <cfRule type="containsErrors" dxfId="1" priority="8">
      <formula>ISERROR(T52)</formula>
    </cfRule>
  </conditionalFormatting>
  <conditionalFormatting sqref="T55">
    <cfRule type="containsErrors" dxfId="0" priority="7">
      <formula>ISERROR(T55)</formula>
    </cfRule>
  </conditionalFormatting>
  <pageMargins left="0.23" right="0.25" top="0.75" bottom="0.75" header="0.3" footer="0.3"/>
  <pageSetup scale="64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2B79B9A6654D4F88286D1C9AA4D0EC" ma:contentTypeVersion="16" ma:contentTypeDescription="Create a new document." ma:contentTypeScope="" ma:versionID="90d4639c436cc1bd92072f3f7cf10a10">
  <xsd:schema xmlns:xsd="http://www.w3.org/2001/XMLSchema" xmlns:xs="http://www.w3.org/2001/XMLSchema" xmlns:p="http://schemas.microsoft.com/office/2006/metadata/properties" xmlns:ns2="6faf97dc-f4bf-4678-8a9f-05b6dc1639c3" xmlns:ns3="0d2a7c64-bd05-458a-8b26-e6ea82038594" targetNamespace="http://schemas.microsoft.com/office/2006/metadata/properties" ma:root="true" ma:fieldsID="2e611c1d69ccf35122b9be38c78aac7b" ns2:_="" ns3:_="">
    <xsd:import namespace="6faf97dc-f4bf-4678-8a9f-05b6dc1639c3"/>
    <xsd:import namespace="0d2a7c64-bd05-458a-8b26-e6ea82038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f97dc-f4bf-4678-8a9f-05b6dc163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7acc1e1-5cbc-45f7-8d73-8d0f126e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a7c64-bd05-458a-8b26-e6ea820385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7f046f9-6c60-40b1-997f-5332a6c4bde7}" ma:internalName="TaxCatchAll" ma:showField="CatchAllData" ma:web="0d2a7c64-bd05-458a-8b26-e6ea82038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2a7c64-bd05-458a-8b26-e6ea82038594" xsi:nil="true"/>
    <lcf76f155ced4ddcb4097134ff3c332f xmlns="6faf97dc-f4bf-4678-8a9f-05b6dc1639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0EF38-6976-4285-80C8-B0FA5202E4F2}"/>
</file>

<file path=customXml/itemProps2.xml><?xml version="1.0" encoding="utf-8"?>
<ds:datastoreItem xmlns:ds="http://schemas.openxmlformats.org/officeDocument/2006/customXml" ds:itemID="{D9AEA99B-52C3-40F7-A16C-849BF86AF053}"/>
</file>

<file path=customXml/itemProps3.xml><?xml version="1.0" encoding="utf-8"?>
<ds:datastoreItem xmlns:ds="http://schemas.openxmlformats.org/officeDocument/2006/customXml" ds:itemID="{32377E58-5BBC-4080-8FA0-102D82221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FY26 P&amp;L Actuals</vt:lpstr>
      <vt:lpstr>Sch 6 - FY26 BS Actuals</vt:lpstr>
      <vt:lpstr>Sch 7 - CF</vt:lpstr>
      <vt:lpstr>'FY26 P&amp;L Actuals'!Print_Area</vt:lpstr>
      <vt:lpstr>'Sch 6 - FY26 BS Actuals'!Print_Area</vt:lpstr>
      <vt:lpstr>'Sch 7 - CF'!Print_Area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Ravins</dc:creator>
  <cp:lastModifiedBy>Rachel Ravins</cp:lastModifiedBy>
  <dcterms:created xsi:type="dcterms:W3CDTF">2025-11-18T21:30:08Z</dcterms:created>
  <dcterms:modified xsi:type="dcterms:W3CDTF">2026-01-16T21:38:13Z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0x010100432B79B9A6654D4F88286D1C9AA4D0EC</vt:lpwstr>
  </property>
</Properties>
</file>